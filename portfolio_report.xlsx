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vekentac-my.sharepoint.com/personal/mjg1_kent_ac_uk/Documents/"/>
    </mc:Choice>
  </mc:AlternateContent>
  <xr:revisionPtr revIDLastSave="282" documentId="8_{33D30AC3-4A2E-41C2-9AF2-DF1A1AF85830}" xr6:coauthVersionLast="47" xr6:coauthVersionMax="47" xr10:uidLastSave="{DA3546D2-1138-4D5A-BCFD-19A4502A5747}"/>
  <bookViews>
    <workbookView xWindow="-30" yWindow="75" windowWidth="32985" windowHeight="20835" activeTab="1" xr2:uid="{00000000-000D-0000-FFFF-FFFF00000000}"/>
  </bookViews>
  <sheets>
    <sheet name="Summary" sheetId="1" r:id="rId1"/>
    <sheet name="Correlation" sheetId="2" r:id="rId2"/>
    <sheet name="Returns" sheetId="3" r:id="rId3"/>
    <sheet name="PivotTable" sheetId="4" r:id="rId4"/>
  </sheet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" i="3"/>
  <c r="H4" i="1"/>
  <c r="I4" i="1"/>
  <c r="G4" i="1"/>
  <c r="G3" i="1"/>
  <c r="I3" i="1"/>
  <c r="H3" i="1"/>
</calcChain>
</file>

<file path=xl/sharedStrings.xml><?xml version="1.0" encoding="utf-8"?>
<sst xmlns="http://schemas.openxmlformats.org/spreadsheetml/2006/main" count="250" uniqueCount="21">
  <si>
    <t>Ticker</t>
  </si>
  <si>
    <t>Annual Return</t>
  </si>
  <si>
    <t>Annual Volatility</t>
  </si>
  <si>
    <t>Sharpe Ratio</t>
  </si>
  <si>
    <t>Nasdaq-100</t>
  </si>
  <si>
    <t>Legal &amp; General</t>
  </si>
  <si>
    <t>Semiconductors</t>
  </si>
  <si>
    <t>Gold</t>
  </si>
  <si>
    <t>Global equity</t>
  </si>
  <si>
    <t>Emerging markets</t>
  </si>
  <si>
    <t>Portfolio</t>
  </si>
  <si>
    <t>Date</t>
  </si>
  <si>
    <t>Holding</t>
  </si>
  <si>
    <t>Return</t>
  </si>
  <si>
    <t>Volatility</t>
  </si>
  <si>
    <t>XLOOKUP</t>
  </si>
  <si>
    <t>Year</t>
  </si>
  <si>
    <t>Row Labels</t>
  </si>
  <si>
    <t>Column Labels</t>
  </si>
  <si>
    <t>Average of Return</t>
  </si>
  <si>
    <t>Whole Period (avg 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</si>
</sst>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74" formatCode="0.00%;[Red]\-0.00%"/>
  </numFmts>
  <fonts count="6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62626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6F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D6DCE5"/>
      </top>
      <bottom style="thin">
        <color rgb="FFD6DCE5"/>
      </bottom>
      <diagonal/>
    </border>
    <border>
      <left/>
      <right/>
      <top style="thin">
        <color rgb="FFD6DCE5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4">
    <xf numFmtId="0" fontId="0" fillId="0" borderId="0" xfId="0"/>
    <xf numFmtId="10" fontId="0" fillId="0" borderId="0" xfId="0" applyNumberFormat="1"/>
    <xf numFmtId="166" fontId="0" fillId="0" borderId="0" xfId="0" applyNumberFormat="1"/>
    <xf numFmtId="1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2" fontId="2" fillId="3" borderId="1" xfId="0" applyNumberFormat="1" applyFont="1" applyFill="1" applyBorder="1" applyAlignment="1">
      <alignment horizontal="right" vertical="center" wrapText="1"/>
    </xf>
    <xf numFmtId="166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66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166" fontId="1" fillId="2" borderId="2" xfId="0" applyNumberFormat="1" applyFont="1" applyFill="1" applyBorder="1" applyAlignment="1">
      <alignment horizontal="right" vertical="center"/>
    </xf>
    <xf numFmtId="2" fontId="1" fillId="2" borderId="2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  <xf numFmtId="166" fontId="3" fillId="4" borderId="3" xfId="0" applyNumberFormat="1" applyFont="1" applyFill="1" applyBorder="1" applyAlignment="1">
      <alignment horizontal="right" vertical="center"/>
    </xf>
    <xf numFmtId="2" fontId="3" fillId="4" borderId="3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10" fontId="2" fillId="3" borderId="1" xfId="0" applyNumberFormat="1" applyFont="1" applyFill="1" applyBorder="1" applyAlignment="1">
      <alignment horizontal="right" vertical="center" wrapText="1"/>
    </xf>
    <xf numFmtId="10" fontId="1" fillId="0" borderId="1" xfId="0" applyNumberFormat="1" applyFont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2" fillId="3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/>
    </xf>
    <xf numFmtId="10" fontId="1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0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10" fontId="1" fillId="2" borderId="2" xfId="0" applyNumberFormat="1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/>
    </xf>
    <xf numFmtId="10" fontId="3" fillId="4" borderId="3" xfId="0" applyNumberFormat="1" applyFont="1" applyFill="1" applyBorder="1" applyAlignment="1">
      <alignment vertical="center"/>
    </xf>
    <xf numFmtId="10" fontId="3" fillId="0" borderId="1" xfId="0" applyNumberFormat="1" applyFont="1" applyFill="1" applyBorder="1" applyAlignment="1">
      <alignment vertical="center"/>
    </xf>
    <xf numFmtId="10" fontId="3" fillId="2" borderId="1" xfId="0" applyNumberFormat="1" applyFont="1" applyFill="1" applyBorder="1" applyAlignment="1">
      <alignment vertical="center"/>
    </xf>
    <xf numFmtId="10" fontId="3" fillId="2" borderId="2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7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65">
    <dxf>
      <fill>
        <patternFill patternType="solid">
          <fgColor indexed="64"/>
          <bgColor rgb="FFF3F6FB"/>
        </patternFill>
      </fill>
    </dxf>
    <dxf>
      <font>
        <b/>
      </font>
    </dxf>
    <dxf>
      <border diagonalUp="0" diagonalDown="0" outline="0">
        <left/>
        <right/>
        <top style="medium">
          <color rgb="FF1F3864"/>
        </top>
        <bottom style="thin">
          <color rgb="FF1F3864"/>
        </bottom>
      </border>
    </dxf>
    <dxf>
      <border diagonalUp="0" diagonalDown="0" outline="0">
        <left/>
        <right/>
        <top style="medium">
          <color rgb="FF1F3864"/>
        </top>
        <bottom style="medium">
          <color rgb="FF1F3864"/>
        </bottom>
      </border>
    </dxf>
    <dxf>
      <border diagonalUp="0" diagonalDown="0" outline="0">
        <left/>
        <right/>
        <top style="medium">
          <color rgb="FF1F3864"/>
        </top>
        <bottom style="thin">
          <color rgb="FF1F3864"/>
        </bottom>
      </border>
    </dxf>
    <dxf>
      <border diagonalUp="0" diagonalDown="0" outline="0">
        <left/>
        <right/>
        <top style="medium">
          <color rgb="FF1F3864"/>
        </top>
        <bottom style="medium">
          <color rgb="FF1F3864"/>
        </bottom>
      </border>
    </dxf>
    <dxf>
      <border diagonalUp="0" diagonalDown="0" outline="0">
        <left/>
        <right/>
        <top style="medium">
          <color rgb="FF1F3864"/>
        </top>
        <bottom style="thin">
          <color rgb="FFD6DCE5"/>
        </bottom>
      </border>
    </dxf>
    <dxf>
      <border diagonalUp="0" diagonalDown="0" outline="0">
        <left/>
        <right/>
        <top style="medium">
          <color rgb="FF1F3864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1F3864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1F3864"/>
        </top>
        <bottom style="thin">
          <color rgb="FFD6DCE5"/>
        </bottom>
      </border>
    </dxf>
    <dxf>
      <font>
        <b/>
      </font>
    </dxf>
    <dxf>
      <font>
        <b/>
      </font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64"/>
          <bgColor rgb="FFF3F6FB"/>
        </patternFill>
      </fill>
    </dxf>
    <dxf>
      <fill>
        <patternFill patternType="solid">
          <fgColor indexed="64"/>
          <bgColor rgb="FFF3F6FB"/>
        </patternFill>
      </fill>
    </dxf>
    <dxf>
      <fill>
        <patternFill patternType="solid">
          <fgColor indexed="64"/>
          <bgColor rgb="FFF3F6FB"/>
        </patternFill>
      </fill>
    </dxf>
    <dxf>
      <fill>
        <patternFill patternType="solid">
          <fgColor indexed="64"/>
          <bgColor rgb="FFF3F6FB"/>
        </patternFill>
      </fill>
    </dxf>
    <dxf>
      <fill>
        <patternFill patternType="solid">
          <fgColor indexed="64"/>
          <bgColor rgb="FFF3F6FB"/>
        </patternFill>
      </fill>
    </dxf>
    <dxf>
      <fill>
        <patternFill patternType="solid">
          <fgColor indexed="64"/>
          <bgColor rgb="FFF3F6FB"/>
        </patternFill>
      </fill>
    </dxf>
    <dxf>
      <fill>
        <patternFill patternType="none"/>
      </fill>
    </dxf>
    <dxf>
      <fill>
        <patternFill patternType="none"/>
      </fill>
    </dxf>
    <dxf>
      <alignment horizontal="right"/>
    </dxf>
    <dxf>
      <alignment horizontal="right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3864"/>
        </patternFill>
      </fill>
    </dxf>
    <dxf>
      <fill>
        <patternFill patternType="solid">
          <fgColor indexed="64"/>
          <bgColor rgb="FF1F3864"/>
        </patternFill>
      </fill>
    </dxf>
    <dxf>
      <fill>
        <patternFill patternType="solid">
          <fgColor indexed="64"/>
          <bgColor rgb="FF1F3864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1F3864"/>
      </font>
    </dxf>
    <dxf>
      <font>
        <color rgb="FF1F3864"/>
      </font>
    </dxf>
    <dxf>
      <font>
        <color rgb="FF1F3864"/>
      </font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rgb="FFD6DCE5"/>
        </top>
        <bottom style="thin">
          <color rgb="FFD6DCE5"/>
        </bottom>
      </border>
    </dxf>
    <dxf>
      <border diagonalUp="0" diagonalDown="0" outline="0">
        <left/>
        <right/>
        <top style="thin">
          <color auto="1"/>
        </top>
        <bottom style="thin">
          <color rgb="FFD6DCE5"/>
        </bottom>
      </border>
    </dxf>
    <dxf>
      <border diagonalUp="0" diagonalDown="0" outline="0">
        <left/>
        <right/>
        <top style="thin">
          <color auto="1"/>
        </top>
        <bottom style="thin">
          <color rgb="FFD6DCE5"/>
        </bottom>
      </border>
    </dxf>
    <dxf>
      <border diagonalUp="0" diagonalDown="0" outline="0">
        <left/>
        <right/>
        <top style="thin">
          <color auto="1"/>
        </top>
        <bottom style="thin">
          <color rgb="FFD6DCE5"/>
        </bottom>
      </border>
    </dxf>
    <dxf>
      <border diagonalUp="0" diagonalDown="0" outline="0">
        <left/>
        <right/>
        <top style="thin">
          <color auto="1"/>
        </top>
        <bottom style="thin">
          <color rgb="FFD6DCE5"/>
        </bottom>
      </border>
    </dxf>
    <dxf>
      <border diagonalUp="0" diagonalDown="0" outline="0">
        <left/>
        <right/>
        <top style="thin">
          <color auto="1"/>
        </top>
        <bottom style="thin">
          <color rgb="FFD6DCE5"/>
        </bottom>
      </border>
    </dxf>
    <dxf>
      <border diagonalUp="0" diagonalDown="0" outline="0">
        <left/>
        <right/>
        <top style="thin">
          <color auto="1"/>
        </top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rgb="FFD6DCE5"/>
        </bottom>
      </border>
    </dxf>
    <dxf>
      <border diagonalUp="0" diagonalDown="0" outline="0">
        <left/>
        <right/>
        <top/>
        <bottom style="thin">
          <color auto="1"/>
        </bottom>
      </border>
    </dxf>
    <dxf>
      <border diagonalUp="0" diagonalDown="0" outline="0">
        <left/>
        <right/>
        <top/>
        <bottom style="thin">
          <color auto="1"/>
        </bottom>
      </border>
    </dxf>
    <dxf>
      <border diagonalUp="0" diagonalDown="0" outline="0">
        <left/>
        <right/>
        <top/>
        <bottom style="thin">
          <color auto="1"/>
        </bottom>
      </border>
    </dxf>
    <dxf>
      <border diagonalUp="0" diagonalDown="0" outline="0">
        <left/>
        <right/>
        <top/>
        <bottom style="thin">
          <color auto="1"/>
        </bottom>
      </border>
    </dxf>
    <dxf>
      <border diagonalUp="0" diagonalDown="0" outline="0">
        <left/>
        <right/>
        <top/>
        <bottom style="thin">
          <color auto="1"/>
        </bottom>
      </border>
    </dxf>
    <dxf>
      <border diagonalUp="0" diagonalDown="0" outline="0">
        <left/>
        <right/>
        <top/>
        <bottom style="thin">
          <color auto="1"/>
        </bottom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font>
        <color rgb="FF262626"/>
      </font>
    </dxf>
    <dxf>
      <alignment wrapText="1"/>
    </dxf>
    <dxf>
      <numFmt numFmtId="14" formatCode="0.00%"/>
    </dxf>
    <dxf>
      <numFmt numFmtId="171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Portfolio beats every holding on risk-adjusted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C1-4C12-94A4-8967F3AD8271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Summary!$A$2:$A$8</c:f>
              <c:strCache>
                <c:ptCount val="7"/>
                <c:pt idx="0">
                  <c:v>Nasdaq-100</c:v>
                </c:pt>
                <c:pt idx="1">
                  <c:v>Legal &amp; General</c:v>
                </c:pt>
                <c:pt idx="2">
                  <c:v>Semiconductors</c:v>
                </c:pt>
                <c:pt idx="3">
                  <c:v>Gold</c:v>
                </c:pt>
                <c:pt idx="4">
                  <c:v>Global equity</c:v>
                </c:pt>
                <c:pt idx="5">
                  <c:v>Emerging markets</c:v>
                </c:pt>
                <c:pt idx="6">
                  <c:v>Portfolio</c:v>
                </c:pt>
              </c:strCache>
            </c:strRef>
          </c:cat>
          <c:val>
            <c:numRef>
              <c:f>Summary!$D$2:$D$8</c:f>
              <c:numCache>
                <c:formatCode>0.00</c:formatCode>
                <c:ptCount val="7"/>
                <c:pt idx="0">
                  <c:v>1.163523781848701</c:v>
                </c:pt>
                <c:pt idx="1">
                  <c:v>0.38080612135532471</c:v>
                </c:pt>
                <c:pt idx="2">
                  <c:v>0.98052638005683634</c:v>
                </c:pt>
                <c:pt idx="3">
                  <c:v>1.1183980300029699</c:v>
                </c:pt>
                <c:pt idx="4">
                  <c:v>1.2393596548665391</c:v>
                </c:pt>
                <c:pt idx="5">
                  <c:v>1.110406304308333</c:v>
                </c:pt>
                <c:pt idx="6">
                  <c:v>1.3382212183958699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1-4C12-94A4-8967F3AD8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13555679"/>
        <c:axId val="501591535"/>
      </c:barChart>
      <c:catAx>
        <c:axId val="111355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1591535"/>
        <c:crosses val="autoZero"/>
        <c:auto val="1"/>
        <c:lblAlgn val="ctr"/>
        <c:lblOffset val="100"/>
        <c:noMultiLvlLbl val="0"/>
      </c:catAx>
      <c:valAx>
        <c:axId val="50159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7E9EE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55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127000</xdr:rowOff>
    </xdr:from>
    <xdr:to>
      <xdr:col>9</xdr:col>
      <xdr:colOff>50800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BEF47-ACED-12F8-040C-D658912F7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Gilham" refreshedDate="46309.630807754627" createdVersion="8" refreshedVersion="8" minRefreshableVersion="3" recordCount="204" xr:uid="{557ED7E3-722D-492F-9AB3-FE88E224ECEC}">
  <cacheSource type="worksheet">
    <worksheetSource ref="A1:D205" sheet="Returns"/>
  </cacheSource>
  <cacheFields count="4">
    <cacheField name="Date" numFmtId="14">
      <sharedItems containsSemiMixedTypes="0" containsNonDate="0" containsDate="1" containsString="0" minDate="2023-12-01T00:00:00" maxDate="2026-09-02T00:00:00"/>
    </cacheField>
    <cacheField name="Holding" numFmtId="0">
      <sharedItems count="6">
        <s v="Nasdaq-100"/>
        <s v="Legal &amp; General"/>
        <s v="Semiconductors"/>
        <s v="Gold"/>
        <s v="Global equity"/>
        <s v="Emerging markets"/>
      </sharedItems>
    </cacheField>
    <cacheField name="Return" numFmtId="0">
      <sharedItems containsSemiMixedTypes="0" containsString="0" containsNumber="1" minValue="-0.22513608590805459" maxValue="0.36050985582238049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d v="2023-12-01T00:00:00"/>
    <x v="0"/>
    <n v="6.6837192306414606E-2"/>
    <x v="0"/>
  </r>
  <r>
    <d v="2024-01-01T00:00:00"/>
    <x v="0"/>
    <n v="1.8511598941304719E-2"/>
    <x v="1"/>
  </r>
  <r>
    <d v="2024-02-01T00:00:00"/>
    <x v="0"/>
    <n v="4.1776853819226911E-2"/>
    <x v="1"/>
  </r>
  <r>
    <d v="2024-03-01T00:00:00"/>
    <x v="0"/>
    <n v="1.660993074304495E-2"/>
    <x v="1"/>
  </r>
  <r>
    <d v="2024-04-01T00:00:00"/>
    <x v="0"/>
    <n v="-3.2446163616419388E-2"/>
    <x v="1"/>
  </r>
  <r>
    <d v="2024-05-01T00:00:00"/>
    <x v="0"/>
    <n v="3.4727609045885899E-2"/>
    <x v="1"/>
  </r>
  <r>
    <d v="2024-06-01T00:00:00"/>
    <x v="0"/>
    <n v="8.611095092555221E-2"/>
    <x v="1"/>
  </r>
  <r>
    <d v="2024-07-01T00:00:00"/>
    <x v="0"/>
    <n v="-2.3985558225042111E-2"/>
    <x v="1"/>
  </r>
  <r>
    <d v="2024-08-01T00:00:00"/>
    <x v="0"/>
    <n v="2.9919760641914368E-3"/>
    <x v="1"/>
  </r>
  <r>
    <d v="2024-09-01T00:00:00"/>
    <x v="0"/>
    <n v="3.072542372881348E-2"/>
    <x v="1"/>
  </r>
  <r>
    <d v="2024-10-01T00:00:00"/>
    <x v="0"/>
    <n v="-1.4075984003367741E-3"/>
    <x v="1"/>
  </r>
  <r>
    <d v="2024-11-01T00:00:00"/>
    <x v="0"/>
    <n v="4.7583290518910859E-2"/>
    <x v="1"/>
  </r>
  <r>
    <d v="2024-12-01T00:00:00"/>
    <x v="0"/>
    <n v="1.8661737151192789E-2"/>
    <x v="1"/>
  </r>
  <r>
    <d v="2025-01-01T00:00:00"/>
    <x v="0"/>
    <n v="2.340596259490146E-2"/>
    <x v="2"/>
  </r>
  <r>
    <d v="2025-02-01T00:00:00"/>
    <x v="0"/>
    <n v="-5.4715865912353327E-2"/>
    <x v="2"/>
  </r>
  <r>
    <d v="2025-03-01T00:00:00"/>
    <x v="0"/>
    <n v="-7.1396669431506465E-2"/>
    <x v="2"/>
  </r>
  <r>
    <d v="2025-04-01T00:00:00"/>
    <x v="0"/>
    <n v="1.147450872612343E-2"/>
    <x v="2"/>
  </r>
  <r>
    <d v="2025-05-01T00:00:00"/>
    <x v="0"/>
    <n v="0.1040010868826846"/>
    <x v="2"/>
  </r>
  <r>
    <d v="2025-06-01T00:00:00"/>
    <x v="0"/>
    <n v="6.0300270735909489E-2"/>
    <x v="2"/>
  </r>
  <r>
    <d v="2025-07-01T00:00:00"/>
    <x v="0"/>
    <n v="3.6211699164345301E-2"/>
    <x v="2"/>
  </r>
  <r>
    <d v="2025-08-01T00:00:00"/>
    <x v="0"/>
    <n v="-1.4560931899642031E-3"/>
    <x v="2"/>
  </r>
  <r>
    <d v="2025-09-01T00:00:00"/>
    <x v="0"/>
    <n v="4.8906337633202401E-2"/>
    <x v="2"/>
  </r>
  <r>
    <d v="2025-10-01T00:00:00"/>
    <x v="0"/>
    <n v="5.4753502299219381E-2"/>
    <x v="2"/>
  </r>
  <r>
    <d v="2025-11-01T00:00:00"/>
    <x v="0"/>
    <n v="-2.1595863327588009E-2"/>
    <x v="2"/>
  </r>
  <r>
    <d v="2025-12-01T00:00:00"/>
    <x v="0"/>
    <n v="3.8341968911916879E-3"/>
    <x v="2"/>
  </r>
  <r>
    <d v="2026-01-01T00:00:00"/>
    <x v="0"/>
    <n v="9.4972643749355878E-3"/>
    <x v="3"/>
  </r>
  <r>
    <d v="2026-02-01T00:00:00"/>
    <x v="0"/>
    <n v="-2.8223744759177879E-2"/>
    <x v="3"/>
  </r>
  <r>
    <d v="2026-03-01T00:00:00"/>
    <x v="0"/>
    <n v="-6.7452383457855425E-2"/>
    <x v="3"/>
  </r>
  <r>
    <d v="2026-04-01T00:00:00"/>
    <x v="0"/>
    <n v="0.16677950801173561"/>
    <x v="3"/>
  </r>
  <r>
    <d v="2026-05-01T00:00:00"/>
    <x v="0"/>
    <n v="0.11218568665377179"/>
    <x v="3"/>
  </r>
  <r>
    <d v="2026-06-01T00:00:00"/>
    <x v="0"/>
    <n v="-6.2608695652174307E-3"/>
    <x v="3"/>
  </r>
  <r>
    <d v="2026-07-01T00:00:00"/>
    <x v="0"/>
    <n v="-6.9478473923696216E-2"/>
    <x v="3"/>
  </r>
  <r>
    <d v="2026-08-01T00:00:00"/>
    <x v="0"/>
    <n v="5.9432010532254997E-2"/>
    <x v="3"/>
  </r>
  <r>
    <d v="2026-09-01T00:00:00"/>
    <x v="0"/>
    <n v="3.0711876442393041E-2"/>
    <x v="3"/>
  </r>
  <r>
    <d v="2023-12-01T00:00:00"/>
    <x v="1"/>
    <n v="9.5071934335152708E-2"/>
    <x v="0"/>
  </r>
  <r>
    <d v="2024-01-01T00:00:00"/>
    <x v="1"/>
    <n v="1.5531708001745191E-2"/>
    <x v="1"/>
  </r>
  <r>
    <d v="2024-02-01T00:00:00"/>
    <x v="1"/>
    <n v="-5.0588207064723438E-2"/>
    <x v="1"/>
  </r>
  <r>
    <d v="2024-03-01T00:00:00"/>
    <x v="1"/>
    <n v="5.080528724722444E-2"/>
    <x v="1"/>
  </r>
  <r>
    <d v="2024-04-01T00:00:00"/>
    <x v="1"/>
    <n v="-7.1780798228649245E-2"/>
    <x v="1"/>
  </r>
  <r>
    <d v="2024-05-01T00:00:00"/>
    <x v="1"/>
    <n v="5.9322116793243403E-2"/>
    <x v="1"/>
  </r>
  <r>
    <d v="2024-06-01T00:00:00"/>
    <x v="1"/>
    <n v="-9.1999972848864076E-2"/>
    <x v="1"/>
  </r>
  <r>
    <d v="2024-07-01T00:00:00"/>
    <x v="1"/>
    <n v="2.0704868659603189E-2"/>
    <x v="1"/>
  </r>
  <r>
    <d v="2024-08-01T00:00:00"/>
    <x v="1"/>
    <n v="-3.3844895131425967E-2"/>
    <x v="1"/>
  </r>
  <r>
    <d v="2024-09-01T00:00:00"/>
    <x v="1"/>
    <n v="1.117078649444792E-2"/>
    <x v="1"/>
  </r>
  <r>
    <d v="2024-10-01T00:00:00"/>
    <x v="1"/>
    <n v="-4.0654107361909109E-2"/>
    <x v="1"/>
  </r>
  <r>
    <d v="2024-11-01T00:00:00"/>
    <x v="1"/>
    <n v="1.9345978761459159E-2"/>
    <x v="1"/>
  </r>
  <r>
    <d v="2024-12-01T00:00:00"/>
    <x v="1"/>
    <n v="3.8409376660769823E-2"/>
    <x v="1"/>
  </r>
  <r>
    <d v="2025-01-01T00:00:00"/>
    <x v="1"/>
    <n v="5.439507224835527E-2"/>
    <x v="2"/>
  </r>
  <r>
    <d v="2025-02-01T00:00:00"/>
    <x v="1"/>
    <n v="9.9050957983342069E-3"/>
    <x v="2"/>
  </r>
  <r>
    <d v="2025-03-01T00:00:00"/>
    <x v="1"/>
    <n v="-7.7646482432901509E-3"/>
    <x v="2"/>
  </r>
  <r>
    <d v="2025-04-01T00:00:00"/>
    <x v="1"/>
    <n v="-3.3593269675462167E-2"/>
    <x v="2"/>
  </r>
  <r>
    <d v="2025-05-01T00:00:00"/>
    <x v="1"/>
    <n v="6.0554294949507481E-2"/>
    <x v="2"/>
  </r>
  <r>
    <d v="2025-06-01T00:00:00"/>
    <x v="1"/>
    <n v="2.3723475251101519E-2"/>
    <x v="2"/>
  </r>
  <r>
    <d v="2025-07-01T00:00:00"/>
    <x v="1"/>
    <n v="8.6408802324169365E-3"/>
    <x v="2"/>
  </r>
  <r>
    <d v="2025-08-01T00:00:00"/>
    <x v="1"/>
    <n v="-3.5988476093234738E-2"/>
    <x v="2"/>
  </r>
  <r>
    <d v="2025-09-01T00:00:00"/>
    <x v="1"/>
    <n v="-3.8383869296452322E-2"/>
    <x v="2"/>
  </r>
  <r>
    <d v="2025-10-01T00:00:00"/>
    <x v="1"/>
    <n v="-8.4028415669112899E-4"/>
    <x v="2"/>
  </r>
  <r>
    <d v="2025-11-01T00:00:00"/>
    <x v="1"/>
    <n v="3.8267394497906171E-2"/>
    <x v="2"/>
  </r>
  <r>
    <d v="2025-12-01T00:00:00"/>
    <x v="1"/>
    <n v="6.0753294839217098E-2"/>
    <x v="2"/>
  </r>
  <r>
    <d v="2026-01-01T00:00:00"/>
    <x v="1"/>
    <n v="1.221846510655933E-2"/>
    <x v="3"/>
  </r>
  <r>
    <d v="2026-02-01T00:00:00"/>
    <x v="1"/>
    <n v="2.338745178377977E-2"/>
    <x v="3"/>
  </r>
  <r>
    <d v="2026-03-01T00:00:00"/>
    <x v="1"/>
    <n v="-9.214894845293975E-2"/>
    <x v="3"/>
  </r>
  <r>
    <d v="2026-04-01T00:00:00"/>
    <x v="1"/>
    <n v="2.2521003214017728E-2"/>
    <x v="3"/>
  </r>
  <r>
    <d v="2026-05-01T00:00:00"/>
    <x v="1"/>
    <n v="7.8267788352831547E-2"/>
    <x v="3"/>
  </r>
  <r>
    <d v="2026-06-01T00:00:00"/>
    <x v="1"/>
    <n v="5.3795178764854512E-2"/>
    <x v="3"/>
  </r>
  <r>
    <d v="2026-07-01T00:00:00"/>
    <x v="1"/>
    <n v="5.0349606166097738E-2"/>
    <x v="3"/>
  </r>
  <r>
    <d v="2026-08-01T00:00:00"/>
    <x v="1"/>
    <n v="-2.309772364752094E-2"/>
    <x v="3"/>
  </r>
  <r>
    <d v="2026-09-01T00:00:00"/>
    <x v="1"/>
    <n v="-4.7716221050035923E-3"/>
    <x v="3"/>
  </r>
  <r>
    <d v="2023-12-01T00:00:00"/>
    <x v="2"/>
    <n v="0.1083835462850973"/>
    <x v="0"/>
  </r>
  <r>
    <d v="2024-01-01T00:00:00"/>
    <x v="2"/>
    <n v="-0.1947373797872877"/>
    <x v="1"/>
  </r>
  <r>
    <d v="2024-02-01T00:00:00"/>
    <x v="2"/>
    <n v="0.11165333018110141"/>
    <x v="1"/>
  </r>
  <r>
    <d v="2024-03-01T00:00:00"/>
    <x v="2"/>
    <n v="4.9956038043482247E-2"/>
    <x v="1"/>
  </r>
  <r>
    <d v="2024-04-01T00:00:00"/>
    <x v="2"/>
    <n v="-4.3398283242636282E-2"/>
    <x v="1"/>
  </r>
  <r>
    <d v="2024-05-01T00:00:00"/>
    <x v="2"/>
    <n v="5.3146921119877177E-2"/>
    <x v="1"/>
  </r>
  <r>
    <d v="2024-06-01T00:00:00"/>
    <x v="2"/>
    <n v="9.1633471181273851E-2"/>
    <x v="1"/>
  </r>
  <r>
    <d v="2024-07-01T00:00:00"/>
    <x v="2"/>
    <n v="-8.4549910984599075E-2"/>
    <x v="1"/>
  </r>
  <r>
    <d v="2024-08-01T00:00:00"/>
    <x v="2"/>
    <n v="-4.2441833985420008E-2"/>
    <x v="1"/>
  </r>
  <r>
    <d v="2024-09-01T00:00:00"/>
    <x v="2"/>
    <n v="-1.2316783319228249E-2"/>
    <x v="1"/>
  </r>
  <r>
    <d v="2024-10-01T00:00:00"/>
    <x v="2"/>
    <n v="-1.2031271003217331E-2"/>
    <x v="1"/>
  </r>
  <r>
    <d v="2024-11-01T00:00:00"/>
    <x v="2"/>
    <n v="7.5555589463975892E-3"/>
    <x v="1"/>
  </r>
  <r>
    <d v="2024-12-01T00:00:00"/>
    <x v="2"/>
    <n v="2.8319373454065429E-2"/>
    <x v="1"/>
  </r>
  <r>
    <d v="2025-01-01T00:00:00"/>
    <x v="2"/>
    <n v="3.8263563308804649E-2"/>
    <x v="2"/>
  </r>
  <r>
    <d v="2025-02-01T00:00:00"/>
    <x v="2"/>
    <n v="-7.8912568587204301E-2"/>
    <x v="2"/>
  </r>
  <r>
    <d v="2025-03-01T00:00:00"/>
    <x v="2"/>
    <n v="-0.1247870017625051"/>
    <x v="2"/>
  </r>
  <r>
    <d v="2025-04-01T00:00:00"/>
    <x v="2"/>
    <n v="-3.9565364572717983E-2"/>
    <x v="2"/>
  </r>
  <r>
    <d v="2025-05-01T00:00:00"/>
    <x v="2"/>
    <n v="0.12636072889216929"/>
    <x v="2"/>
  </r>
  <r>
    <d v="2025-06-01T00:00:00"/>
    <x v="2"/>
    <n v="0.14534777441201599"/>
    <x v="2"/>
  </r>
  <r>
    <d v="2025-07-01T00:00:00"/>
    <x v="2"/>
    <n v="3.6896102597933973E-2"/>
    <x v="2"/>
  </r>
  <r>
    <d v="2025-08-01T00:00:00"/>
    <x v="2"/>
    <n v="-6.701817839841806E-3"/>
    <x v="2"/>
  </r>
  <r>
    <d v="2025-09-01T00:00:00"/>
    <x v="2"/>
    <n v="0.14506022357649931"/>
    <x v="2"/>
  </r>
  <r>
    <d v="2025-10-01T00:00:00"/>
    <x v="2"/>
    <n v="0.18588669002820951"/>
    <x v="2"/>
  </r>
  <r>
    <d v="2025-11-01T00:00:00"/>
    <x v="2"/>
    <n v="-4.1464581091254733E-2"/>
    <x v="2"/>
  </r>
  <r>
    <d v="2025-12-01T00:00:00"/>
    <x v="2"/>
    <n v="2.5794462792106509E-2"/>
    <x v="2"/>
  </r>
  <r>
    <d v="2026-01-01T00:00:00"/>
    <x v="2"/>
    <n v="0.1716297166377192"/>
    <x v="3"/>
  </r>
  <r>
    <d v="2026-02-01T00:00:00"/>
    <x v="2"/>
    <n v="3.3066390050840111E-2"/>
    <x v="3"/>
  </r>
  <r>
    <d v="2026-03-01T00:00:00"/>
    <x v="2"/>
    <n v="-9.5328086228839148E-2"/>
    <x v="3"/>
  </r>
  <r>
    <d v="2026-04-01T00:00:00"/>
    <x v="2"/>
    <n v="0.36050985582238049"/>
    <x v="3"/>
  </r>
  <r>
    <d v="2026-05-01T00:00:00"/>
    <x v="2"/>
    <n v="0.28299141646900511"/>
    <x v="3"/>
  </r>
  <r>
    <d v="2026-06-01T00:00:00"/>
    <x v="2"/>
    <n v="0.13294722109528109"/>
    <x v="3"/>
  </r>
  <r>
    <d v="2026-07-01T00:00:00"/>
    <x v="2"/>
    <n v="-0.22513608590805459"/>
    <x v="3"/>
  </r>
  <r>
    <d v="2026-08-01T00:00:00"/>
    <x v="2"/>
    <n v="3.4561906462371013E-2"/>
    <x v="3"/>
  </r>
  <r>
    <d v="2026-09-01T00:00:00"/>
    <x v="2"/>
    <n v="0.1139451068835018"/>
    <x v="3"/>
  </r>
  <r>
    <d v="2023-12-01T00:00:00"/>
    <x v="3"/>
    <n v="6.3775510204082666E-3"/>
    <x v="0"/>
  </r>
  <r>
    <d v="2024-01-01T00:00:00"/>
    <x v="3"/>
    <n v="-5.5449936628644281E-3"/>
    <x v="1"/>
  </r>
  <r>
    <d v="2024-02-01T00:00:00"/>
    <x v="3"/>
    <n v="3.3455472359407161E-3"/>
    <x v="1"/>
  </r>
  <r>
    <d v="2024-03-01T00:00:00"/>
    <x v="3"/>
    <n v="8.4788821848205798E-2"/>
    <x v="1"/>
  </r>
  <r>
    <d v="2024-04-01T00:00:00"/>
    <x v="3"/>
    <n v="4.508196721311486E-2"/>
    <x v="1"/>
  </r>
  <r>
    <d v="2024-05-01T00:00:00"/>
    <x v="3"/>
    <n v="-1.9607843137254828E-3"/>
    <x v="1"/>
  </r>
  <r>
    <d v="2024-06-01T00:00:00"/>
    <x v="3"/>
    <n v="5.6132472635419539E-3"/>
    <x v="1"/>
  </r>
  <r>
    <d v="2024-07-01T00:00:00"/>
    <x v="3"/>
    <n v="2.3025397711414989E-2"/>
    <x v="1"/>
  </r>
  <r>
    <d v="2024-08-01T00:00:00"/>
    <x v="3"/>
    <n v="1.132178420406493E-2"/>
    <x v="1"/>
  </r>
  <r>
    <d v="2024-09-01T00:00:00"/>
    <x v="3"/>
    <n v="2.9943350418127901E-2"/>
    <x v="1"/>
  </r>
  <r>
    <d v="2024-10-01T00:00:00"/>
    <x v="3"/>
    <n v="8.407543216343627E-2"/>
    <x v="1"/>
  </r>
  <r>
    <d v="2024-11-01T00:00:00"/>
    <x v="3"/>
    <n v="-1.642908915196906E-2"/>
    <x v="1"/>
  </r>
  <r>
    <d v="2024-12-01T00:00:00"/>
    <x v="3"/>
    <n v="-6.1409972979611371E-3"/>
    <x v="1"/>
  </r>
  <r>
    <d v="2025-01-01T00:00:00"/>
    <x v="3"/>
    <n v="8.4527928818586284E-2"/>
    <x v="2"/>
  </r>
  <r>
    <d v="2025-02-01T00:00:00"/>
    <x v="3"/>
    <n v="1.8231540565176729E-3"/>
    <x v="2"/>
  </r>
  <r>
    <d v="2025-03-01T00:00:00"/>
    <x v="3"/>
    <n v="6.7561419472247586E-2"/>
    <x v="2"/>
  </r>
  <r>
    <d v="2025-04-01T00:00:00"/>
    <x v="3"/>
    <n v="2.620924781589595E-2"/>
    <x v="2"/>
  </r>
  <r>
    <d v="2025-05-01T00:00:00"/>
    <x v="3"/>
    <n v="-1.557308970099669E-2"/>
    <x v="2"/>
  </r>
  <r>
    <d v="2025-06-01T00:00:00"/>
    <x v="3"/>
    <n v="-1.7506855093862069E-2"/>
    <x v="2"/>
  </r>
  <r>
    <d v="2025-07-01T00:00:00"/>
    <x v="3"/>
    <n v="3.9287247745813707E-2"/>
    <x v="2"/>
  </r>
  <r>
    <d v="2025-08-01T00:00:00"/>
    <x v="3"/>
    <n v="2.334228465193133E-2"/>
    <x v="2"/>
  </r>
  <r>
    <d v="2025-09-01T00:00:00"/>
    <x v="3"/>
    <n v="0.1192975373435607"/>
    <x v="2"/>
  </r>
  <r>
    <d v="2025-10-01T00:00:00"/>
    <x v="3"/>
    <n v="6.2398557258791731E-2"/>
    <x v="2"/>
  </r>
  <r>
    <d v="2025-11-01T00:00:00"/>
    <x v="3"/>
    <n v="4.7869631641487047E-2"/>
    <x v="2"/>
  </r>
  <r>
    <d v="2025-12-01T00:00:00"/>
    <x v="3"/>
    <n v="7.1278146768183337E-3"/>
    <x v="2"/>
  </r>
  <r>
    <d v="2026-01-01T00:00:00"/>
    <x v="3"/>
    <n v="0.13479170017693429"/>
    <x v="3"/>
  </r>
  <r>
    <d v="2026-02-01T00:00:00"/>
    <x v="3"/>
    <n v="6.8887313961729202E-2"/>
    <x v="3"/>
  </r>
  <r>
    <d v="2026-03-01T00:00:00"/>
    <x v="3"/>
    <n v="-0.10011934756663581"/>
    <x v="3"/>
  </r>
  <r>
    <d v="2026-04-01T00:00:00"/>
    <x v="3"/>
    <n v="-2.66725611553198E-2"/>
    <x v="3"/>
  </r>
  <r>
    <d v="2026-05-01T00:00:00"/>
    <x v="3"/>
    <n v="-2.1196063588190261E-3"/>
    <x v="3"/>
  </r>
  <r>
    <d v="2026-06-01T00:00:00"/>
    <x v="3"/>
    <n v="-0.1055985434683659"/>
    <x v="3"/>
  </r>
  <r>
    <d v="2026-07-01T00:00:00"/>
    <x v="3"/>
    <n v="-1.289228159457168E-2"/>
    <x v="3"/>
  </r>
  <r>
    <d v="2026-08-01T00:00:00"/>
    <x v="3"/>
    <n v="0.1202955834335797"/>
    <x v="3"/>
  </r>
  <r>
    <d v="2026-09-01T00:00:00"/>
    <x v="3"/>
    <n v="-6.795520785396536E-2"/>
    <x v="3"/>
  </r>
  <r>
    <d v="2023-12-01T00:00:00"/>
    <x v="4"/>
    <n v="4.5209225767448347E-2"/>
    <x v="0"/>
  </r>
  <r>
    <d v="2024-01-01T00:00:00"/>
    <x v="4"/>
    <n v="1.113617393508637E-2"/>
    <x v="1"/>
  </r>
  <r>
    <d v="2024-02-01T00:00:00"/>
    <x v="4"/>
    <n v="3.9638186055910303E-2"/>
    <x v="1"/>
  </r>
  <r>
    <d v="2024-03-01T00:00:00"/>
    <x v="4"/>
    <n v="3.4595752184138677E-2"/>
    <x v="1"/>
  </r>
  <r>
    <d v="2024-04-01T00:00:00"/>
    <x v="4"/>
    <n v="-1.8698054564812772E-2"/>
    <x v="1"/>
  </r>
  <r>
    <d v="2024-05-01T00:00:00"/>
    <x v="4"/>
    <n v="9.3759480016664121E-3"/>
    <x v="1"/>
  </r>
  <r>
    <d v="2024-06-01T00:00:00"/>
    <x v="4"/>
    <n v="4.3148217901658903E-2"/>
    <x v="1"/>
  </r>
  <r>
    <d v="2024-07-01T00:00:00"/>
    <x v="4"/>
    <n v="-3.0639571748741772E-3"/>
    <x v="1"/>
  </r>
  <r>
    <d v="2024-08-01T00:00:00"/>
    <x v="4"/>
    <n v="-5.4744494793333986E-3"/>
    <x v="1"/>
  </r>
  <r>
    <d v="2024-09-01T00:00:00"/>
    <x v="4"/>
    <n v="5.5045840466012566E-3"/>
    <x v="1"/>
  </r>
  <r>
    <d v="2024-10-01T00:00:00"/>
    <x v="4"/>
    <n v="2.266615970127828E-2"/>
    <x v="1"/>
  </r>
  <r>
    <d v="2024-11-01T00:00:00"/>
    <x v="4"/>
    <n v="4.9680626590516967E-2"/>
    <x v="1"/>
  </r>
  <r>
    <d v="2024-12-01T00:00:00"/>
    <x v="4"/>
    <n v="-5.4575735821574822E-3"/>
    <x v="1"/>
  </r>
  <r>
    <d v="2025-01-01T00:00:00"/>
    <x v="4"/>
    <n v="4.4980207226318569E-2"/>
    <x v="2"/>
  </r>
  <r>
    <d v="2025-02-01T00:00:00"/>
    <x v="4"/>
    <n v="-3.5382235543887308E-2"/>
    <x v="2"/>
  </r>
  <r>
    <d v="2025-03-01T00:00:00"/>
    <x v="4"/>
    <n v="-5.9170055352430362E-2"/>
    <x v="2"/>
  </r>
  <r>
    <d v="2025-04-01T00:00:00"/>
    <x v="4"/>
    <n v="-2.4378673301678089E-2"/>
    <x v="2"/>
  </r>
  <r>
    <d v="2025-05-01T00:00:00"/>
    <x v="4"/>
    <n v="5.1823061838895512E-2"/>
    <x v="2"/>
  </r>
  <r>
    <d v="2025-06-01T00:00:00"/>
    <x v="4"/>
    <n v="2.8378625311182851E-2"/>
    <x v="2"/>
  </r>
  <r>
    <d v="2025-07-01T00:00:00"/>
    <x v="4"/>
    <n v="5.6000030174683912E-2"/>
    <x v="2"/>
  </r>
  <r>
    <d v="2025-08-01T00:00:00"/>
    <x v="4"/>
    <n v="-1.361965079480276E-3"/>
    <x v="2"/>
  </r>
  <r>
    <d v="2025-09-01T00:00:00"/>
    <x v="4"/>
    <n v="3.699287400762441E-2"/>
    <x v="2"/>
  </r>
  <r>
    <d v="2025-10-01T00:00:00"/>
    <x v="4"/>
    <n v="4.9810926978305803E-2"/>
    <x v="2"/>
  </r>
  <r>
    <d v="2025-11-01T00:00:00"/>
    <x v="4"/>
    <n v="-7.6730609737477584E-3"/>
    <x v="2"/>
  </r>
  <r>
    <d v="2025-12-01T00:00:00"/>
    <x v="4"/>
    <n v="-6.3116776872718106E-4"/>
    <x v="2"/>
  </r>
  <r>
    <d v="2026-01-01T00:00:00"/>
    <x v="4"/>
    <n v="5.3686456349335554E-3"/>
    <x v="3"/>
  </r>
  <r>
    <d v="2026-02-01T00:00:00"/>
    <x v="4"/>
    <n v="3.3453823528636351E-2"/>
    <x v="3"/>
  </r>
  <r>
    <d v="2026-03-01T00:00:00"/>
    <x v="4"/>
    <n v="-6.0334362258013141E-2"/>
    <x v="3"/>
  </r>
  <r>
    <d v="2026-04-01T00:00:00"/>
    <x v="4"/>
    <n v="7.5367877967202679E-2"/>
    <x v="3"/>
  </r>
  <r>
    <d v="2026-05-01T00:00:00"/>
    <x v="4"/>
    <n v="6.3017033779894094E-2"/>
    <x v="3"/>
  </r>
  <r>
    <d v="2026-06-01T00:00:00"/>
    <x v="4"/>
    <n v="6.6497059801047254E-3"/>
    <x v="3"/>
  </r>
  <r>
    <d v="2026-07-01T00:00:00"/>
    <x v="4"/>
    <n v="-2.2066052862320329E-2"/>
    <x v="3"/>
  </r>
  <r>
    <d v="2026-08-01T00:00:00"/>
    <x v="4"/>
    <n v="3.6361004781803492E-2"/>
    <x v="3"/>
  </r>
  <r>
    <d v="2026-09-01T00:00:00"/>
    <x v="4"/>
    <n v="7.2111584893228553E-3"/>
    <x v="3"/>
  </r>
  <r>
    <d v="2023-12-01T00:00:00"/>
    <x v="5"/>
    <n v="3.2612104107870847E-2"/>
    <x v="0"/>
  </r>
  <r>
    <d v="2024-01-01T00:00:00"/>
    <x v="5"/>
    <n v="-3.8202247191011278E-2"/>
    <x v="1"/>
  </r>
  <r>
    <d v="2024-02-01T00:00:00"/>
    <x v="5"/>
    <n v="4.4708259661530692E-2"/>
    <x v="1"/>
  </r>
  <r>
    <d v="2024-03-01T00:00:00"/>
    <x v="5"/>
    <n v="3.1733558994197393E-2"/>
    <x v="1"/>
  </r>
  <r>
    <d v="2024-04-01T00:00:00"/>
    <x v="5"/>
    <n v="1.2185833968012091E-2"/>
    <x v="1"/>
  </r>
  <r>
    <d v="2024-05-01T00:00:00"/>
    <x v="5"/>
    <n v="-8.1032586675927609E-3"/>
    <x v="1"/>
  </r>
  <r>
    <d v="2024-06-01T00:00:00"/>
    <x v="5"/>
    <n v="4.4465192274026899E-2"/>
    <x v="1"/>
  </r>
  <r>
    <d v="2024-07-01T00:00:00"/>
    <x v="5"/>
    <n v="-5.8662495111458926E-3"/>
    <x v="1"/>
  </r>
  <r>
    <d v="2024-08-01T00:00:00"/>
    <x v="5"/>
    <n v="-1.5061256603349451E-2"/>
    <x v="1"/>
  </r>
  <r>
    <d v="2024-09-01T00:00:00"/>
    <x v="5"/>
    <n v="4.0168891931986687E-2"/>
    <x v="1"/>
  </r>
  <r>
    <d v="2024-10-01T00:00:00"/>
    <x v="5"/>
    <n v="-2.084476138233704E-3"/>
    <x v="1"/>
  </r>
  <r>
    <d v="2024-11-01T00:00:00"/>
    <x v="5"/>
    <n v="-1.1708443271767789E-2"/>
    <x v="1"/>
  </r>
  <r>
    <d v="2024-12-01T00:00:00"/>
    <x v="5"/>
    <n v="-6.1182490683575619E-4"/>
    <x v="1"/>
  </r>
  <r>
    <d v="2025-01-01T00:00:00"/>
    <x v="5"/>
    <n v="3.7566785396260023E-2"/>
    <x v="2"/>
  </r>
  <r>
    <d v="2025-02-01T00:00:00"/>
    <x v="5"/>
    <n v="-1.6681864506785441E-2"/>
    <x v="2"/>
  </r>
  <r>
    <d v="2025-03-01T00:00:00"/>
    <x v="5"/>
    <n v="-1.5055640410211679E-2"/>
    <x v="2"/>
  </r>
  <r>
    <d v="2025-04-01T00:00:00"/>
    <x v="5"/>
    <n v="-2.603012848914488E-2"/>
    <x v="2"/>
  </r>
  <r>
    <d v="2025-05-01T00:00:00"/>
    <x v="5"/>
    <n v="3.389059479131129E-2"/>
    <x v="2"/>
  </r>
  <r>
    <d v="2025-06-01T00:00:00"/>
    <x v="5"/>
    <n v="5.0049499505004917E-2"/>
    <x v="2"/>
  </r>
  <r>
    <d v="2025-07-01T00:00:00"/>
    <x v="5"/>
    <n v="5.0492352817934183E-2"/>
    <x v="2"/>
  </r>
  <r>
    <d v="2025-08-01T00:00:00"/>
    <x v="5"/>
    <n v="9.9720781810930248E-4"/>
    <x v="2"/>
  </r>
  <r>
    <d v="2025-09-01T00:00:00"/>
    <x v="5"/>
    <n v="7.3620243076309988E-2"/>
    <x v="2"/>
  </r>
  <r>
    <d v="2025-10-01T00:00:00"/>
    <x v="5"/>
    <n v="6.430360953883274E-2"/>
    <x v="2"/>
  </r>
  <r>
    <d v="2025-11-01T00:00:00"/>
    <x v="5"/>
    <n v="-2.4673060156931159E-2"/>
    <x v="2"/>
  </r>
  <r>
    <d v="2025-12-01T00:00:00"/>
    <x v="5"/>
    <n v="1.519620988647441E-3"/>
    <x v="2"/>
  </r>
  <r>
    <d v="2026-01-01T00:00:00"/>
    <x v="5"/>
    <n v="6.9082470546233399E-2"/>
    <x v="3"/>
  </r>
  <r>
    <d v="2026-02-01T00:00:00"/>
    <x v="5"/>
    <n v="7.4135915845717104E-2"/>
    <x v="3"/>
  </r>
  <r>
    <d v="2026-03-01T00:00:00"/>
    <x v="5"/>
    <n v="-0.10166329861650859"/>
    <x v="3"/>
  </r>
  <r>
    <d v="2026-04-01T00:00:00"/>
    <x v="5"/>
    <n v="0.11784045682644061"/>
    <x v="3"/>
  </r>
  <r>
    <d v="2026-05-01T00:00:00"/>
    <x v="5"/>
    <n v="9.3188854489164141E-2"/>
    <x v="3"/>
  </r>
  <r>
    <d v="2026-06-01T00:00:00"/>
    <x v="5"/>
    <n v="1.1682242990654229E-2"/>
    <x v="3"/>
  </r>
  <r>
    <d v="2026-07-01T00:00:00"/>
    <x v="5"/>
    <n v="-7.4112954020575272E-2"/>
    <x v="3"/>
  </r>
  <r>
    <d v="2026-08-01T00:00:00"/>
    <x v="5"/>
    <n v="5.0793650793650842E-2"/>
    <x v="3"/>
  </r>
  <r>
    <d v="2026-09-01T00:00:00"/>
    <x v="5"/>
    <n v="1.0861746511293241E-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3A07A-F1FA-41B3-9EB7-31408F995E39}" name="PivotTable3" cacheId="8" applyNumberFormats="0" applyBorderFormats="0" applyFontFormats="0" applyPatternFormats="0" applyAlignmentFormats="0" applyWidthHeightFormats="1" dataCaption="Values" grandTotalCaption="Whole Period (avg monthly)" updatedVersion="8" minRefreshableVersion="3" useAutoFormatting="1" itemPrintTitles="1" createdVersion="8" indent="0" outline="1" outlineData="1" multipleFieldFilters="0">
  <location ref="A3:F11" firstHeaderRow="1" firstDataRow="2" firstDataCol="1"/>
  <pivotFields count="4">
    <pivotField numFmtId="14" showAll="0"/>
    <pivotField axis="axisRow" showAll="0">
      <items count="7">
        <item x="5"/>
        <item x="4"/>
        <item x="3"/>
        <item x="1"/>
        <item x="0"/>
        <item x="2"/>
        <item t="default"/>
      </items>
    </pivotField>
    <pivotField dataField="1"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eturn" fld="2" subtotal="average" baseField="1" baseItem="0" numFmtId="10"/>
  </dataFields>
  <formats count="92">
    <format dxfId="164">
      <pivotArea collapsedLevelsAreSubtotals="1" fieldPosition="0">
        <references count="1">
          <reference field="1" count="0"/>
        </references>
      </pivotArea>
    </format>
    <format dxfId="163">
      <pivotArea outline="0" collapsedLevelsAreSubtotals="1" fieldPosition="0"/>
    </format>
    <format dxfId="162">
      <pivotArea dataOnly="0" labelOnly="1" grandCol="1" outline="0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3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1" type="button" dataOnly="0" labelOnly="1" outline="0" axis="axisRow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3">
      <pivotArea dataOnly="0" labelOnly="1" fieldPosition="0">
        <references count="1">
          <reference field="3" count="0"/>
        </references>
      </pivotArea>
    </format>
    <format dxfId="152">
      <pivotArea dataOnly="0" labelOnly="1" grandCol="1" outline="0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3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Row="1" outline="0" fieldPosition="0"/>
    </format>
    <format dxfId="143">
      <pivotArea dataOnly="0" labelOnly="1" fieldPosition="0">
        <references count="1">
          <reference field="3" count="0"/>
        </references>
      </pivotArea>
    </format>
    <format dxfId="142">
      <pivotArea dataOnly="0" labelOnly="1" grandCol="1" outline="0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3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1" type="button" dataOnly="0" labelOnly="1" outline="0" axis="axisRow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grandRow="1" outline="0" fieldPosition="0"/>
    </format>
    <format dxfId="133">
      <pivotArea dataOnly="0" labelOnly="1" fieldPosition="0">
        <references count="1">
          <reference field="3" count="0"/>
        </references>
      </pivotArea>
    </format>
    <format dxfId="132">
      <pivotArea dataOnly="0" labelOnly="1" grandCol="1" outline="0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3" type="button" dataOnly="0" labelOnly="1" outline="0" axis="axisCol" fieldPosition="0"/>
    </format>
    <format dxfId="127">
      <pivotArea type="topRight" dataOnly="0" labelOnly="1" outline="0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3" count="0"/>
        </references>
      </pivotArea>
    </format>
    <format dxfId="122">
      <pivotArea dataOnly="0" labelOnly="1" grandCol="1" outline="0" fieldPosition="0"/>
    </format>
    <format dxfId="61">
      <pivotArea outline="0" collapsedLevelsAreSubtotals="1" fieldPosition="0"/>
    </format>
    <format dxfId="59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3">
      <pivotArea dataOnly="0" labelOnly="1" fieldPosition="0">
        <references count="1">
          <reference field="3" count="0"/>
        </references>
      </pivotArea>
    </format>
    <format dxfId="51">
      <pivotArea dataOnly="0" labelOnly="1" grandCol="1" outline="0" fieldPosition="0"/>
    </format>
    <format dxfId="49">
      <pivotArea type="origin" dataOnly="0" labelOnly="1" outline="0" fieldPosition="0"/>
    </format>
    <format dxfId="48">
      <pivotArea field="3" type="button" dataOnly="0" labelOnly="1" outline="0" axis="axisCol" fieldPosition="0"/>
    </format>
    <format dxfId="47">
      <pivotArea type="topRight" dataOnly="0" labelOnly="1" outline="0" fieldPosition="0"/>
    </format>
    <format dxfId="46">
      <pivotArea type="origin" dataOnly="0" labelOnly="1" outline="0" fieldPosition="0"/>
    </format>
    <format dxfId="45">
      <pivotArea field="3" type="button" dataOnly="0" labelOnly="1" outline="0" axis="axisCol" fieldPosition="0"/>
    </format>
    <format dxfId="44">
      <pivotArea type="topRight" dataOnly="0" labelOnly="1" outline="0" fieldPosition="0"/>
    </format>
    <format dxfId="43">
      <pivotArea type="origin" dataOnly="0" labelOnly="1" outline="0" fieldPosition="0"/>
    </format>
    <format dxfId="42">
      <pivotArea field="3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3" count="0"/>
        </references>
      </pivotArea>
    </format>
    <format dxfId="38">
      <pivotArea dataOnly="0" labelOnly="1" grandCol="1" outline="0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Col="1" outline="0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2">
      <pivotArea dataOnly="0" labelOnly="1" grandCol="1" outline="0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Col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Col="1" outline="0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Col="1" outline="0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dataOnly="0" labelOnly="1" fieldPosition="0">
        <references count="1">
          <reference field="1" count="0"/>
        </references>
      </pivotArea>
    </format>
    <format dxfId="21">
      <pivotArea collapsedLevelsAreSubtotals="1" fieldPosition="0">
        <references count="1">
          <reference field="1" count="1">
            <x v="1"/>
          </reference>
        </references>
      </pivotArea>
    </format>
    <format dxfId="20">
      <pivotArea dataOnly="0" labelOnly="1" fieldPosition="0">
        <references count="1">
          <reference field="1" count="1">
            <x v="1"/>
          </reference>
        </references>
      </pivotArea>
    </format>
    <format dxfId="19">
      <pivotArea collapsedLevelsAreSubtotals="1" fieldPosition="0">
        <references count="1">
          <reference field="1" count="1">
            <x v="3"/>
          </reference>
        </references>
      </pivotArea>
    </format>
    <format dxfId="18">
      <pivotArea dataOnly="0" labelOnly="1" fieldPosition="0">
        <references count="1">
          <reference field="1" count="1">
            <x v="3"/>
          </reference>
        </references>
      </pivotArea>
    </format>
    <format dxfId="17">
      <pivotArea collapsedLevelsAreSubtotals="1" fieldPosition="0">
        <references count="1">
          <reference field="1" count="1">
            <x v="5"/>
          </reference>
        </references>
      </pivotArea>
    </format>
    <format dxfId="16">
      <pivotArea dataOnly="0" labelOnly="1" fieldPosition="0">
        <references count="1">
          <reference field="1" count="1">
            <x v="5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dataOnly="0" labelOnly="1" fieldPosition="0">
        <references count="1">
          <reference field="1" count="0"/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5">
      <pivotArea grandRow="1" outline="0" collapsedLevelsAreSubtotals="1" fieldPosition="0"/>
    </format>
    <format dxfId="3">
      <pivotArea dataOnly="0" labelOnly="1" grandRow="1" outline="0" fieldPosition="0"/>
    </format>
    <format dxfId="1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35BAED-A973-4CB7-AF1E-878013DDFA30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e81f9b02-1c1d-4a72-a42c-752745995fc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zoomScale="130" zoomScaleNormal="130" zoomScaleSheetLayoutView="130" workbookViewId="0">
      <selection activeCell="F5" sqref="F5"/>
    </sheetView>
  </sheetViews>
  <sheetFormatPr defaultRowHeight="15" x14ac:dyDescent="0.25"/>
  <cols>
    <col min="1" max="1" width="22.85546875" customWidth="1"/>
    <col min="2" max="3" width="18.140625" style="2" customWidth="1"/>
    <col min="4" max="4" width="18.140625" style="4" customWidth="1"/>
    <col min="5" max="5" width="3.85546875" customWidth="1"/>
    <col min="6" max="6" width="21" customWidth="1"/>
    <col min="7" max="8" width="18.140625" style="1" customWidth="1"/>
    <col min="9" max="9" width="18.140625" style="4" customWidth="1"/>
  </cols>
  <sheetData>
    <row r="1" spans="1:9" ht="30" customHeight="1" x14ac:dyDescent="0.25">
      <c r="A1" s="7" t="s">
        <v>12</v>
      </c>
      <c r="B1" s="8" t="s">
        <v>1</v>
      </c>
      <c r="C1" s="8" t="s">
        <v>2</v>
      </c>
      <c r="D1" s="9" t="s">
        <v>3</v>
      </c>
      <c r="F1" s="20" t="s">
        <v>15</v>
      </c>
      <c r="G1" s="20"/>
      <c r="H1" s="20"/>
      <c r="I1" s="20"/>
    </row>
    <row r="2" spans="1:9" ht="20.100000000000001" customHeight="1" x14ac:dyDescent="0.25">
      <c r="A2" s="5" t="s">
        <v>4</v>
      </c>
      <c r="B2" s="10">
        <v>0.24974512601578219</v>
      </c>
      <c r="C2" s="10">
        <v>0.18241580389405521</v>
      </c>
      <c r="D2" s="11">
        <v>1.163523781848701</v>
      </c>
      <c r="F2" s="7" t="s">
        <v>12</v>
      </c>
      <c r="G2" s="21" t="s">
        <v>1</v>
      </c>
      <c r="H2" s="21" t="s">
        <v>14</v>
      </c>
      <c r="I2" s="9" t="s">
        <v>3</v>
      </c>
    </row>
    <row r="3" spans="1:9" ht="20.100000000000001" customHeight="1" x14ac:dyDescent="0.25">
      <c r="A3" s="6" t="s">
        <v>5</v>
      </c>
      <c r="B3" s="12">
        <v>9.941796559498535E-2</v>
      </c>
      <c r="C3" s="12">
        <v>0.162597085820505</v>
      </c>
      <c r="D3" s="13">
        <v>0.38080612135532471</v>
      </c>
      <c r="F3" s="5" t="s">
        <v>7</v>
      </c>
      <c r="G3" s="22">
        <f>_xlfn.XLOOKUP(A5,A2:A8,B2:B8)</f>
        <v>0.25358088102815052</v>
      </c>
      <c r="H3" s="22">
        <f>_xlfn.XLOOKUP(F3,A2:A8,C2:C8)</f>
        <v>0.19320570604686829</v>
      </c>
      <c r="I3" s="11">
        <f>_xlfn.XLOOKUP(F3,A2:A8,D2:D8)</f>
        <v>1.1183980300029699</v>
      </c>
    </row>
    <row r="4" spans="1:9" ht="20.100000000000001" customHeight="1" x14ac:dyDescent="0.25">
      <c r="A4" s="5" t="s">
        <v>6</v>
      </c>
      <c r="B4" s="10">
        <v>0.45266062232729171</v>
      </c>
      <c r="C4" s="10">
        <v>0.4234058672681778</v>
      </c>
      <c r="D4" s="11">
        <v>0.98052638005683634</v>
      </c>
      <c r="F4" s="6" t="s">
        <v>8</v>
      </c>
      <c r="G4" s="23">
        <f>_xlfn.XLOOKUP($A$6,$A$2:$A$8,B2:B8)</f>
        <v>0.1809452618617948</v>
      </c>
      <c r="H4" s="23">
        <f t="shared" ref="H4:I4" si="0">_xlfn.XLOOKUP($A$6,$A$2:$A$8,C2:C8)</f>
        <v>0.11574143252003941</v>
      </c>
      <c r="I4" s="13">
        <f t="shared" si="0"/>
        <v>1.2393596548665391</v>
      </c>
    </row>
    <row r="5" spans="1:9" ht="20.100000000000001" customHeight="1" x14ac:dyDescent="0.25">
      <c r="A5" s="6" t="s">
        <v>7</v>
      </c>
      <c r="B5" s="12">
        <v>0.25358088102815052</v>
      </c>
      <c r="C5" s="12">
        <v>0.19320570604686829</v>
      </c>
      <c r="D5" s="13">
        <v>1.1183980300029699</v>
      </c>
    </row>
    <row r="6" spans="1:9" ht="20.100000000000001" customHeight="1" x14ac:dyDescent="0.25">
      <c r="A6" s="5" t="s">
        <v>8</v>
      </c>
      <c r="B6" s="10">
        <v>0.1809452618617948</v>
      </c>
      <c r="C6" s="10">
        <v>0.11574143252003941</v>
      </c>
      <c r="D6" s="11">
        <v>1.2393596548665391</v>
      </c>
    </row>
    <row r="7" spans="1:9" ht="20.100000000000001" customHeight="1" thickBot="1" x14ac:dyDescent="0.3">
      <c r="A7" s="14" t="s">
        <v>9</v>
      </c>
      <c r="B7" s="15">
        <v>0.21389802013520981</v>
      </c>
      <c r="C7" s="15">
        <v>0.1588589865266366</v>
      </c>
      <c r="D7" s="16">
        <v>1.110406304308333</v>
      </c>
    </row>
    <row r="8" spans="1:9" ht="20.100000000000001" customHeight="1" thickBot="1" x14ac:dyDescent="0.3">
      <c r="A8" s="17" t="s">
        <v>10</v>
      </c>
      <c r="B8" s="18">
        <v>0.22006179666273981</v>
      </c>
      <c r="C8" s="18">
        <v>0.13642123899483319</v>
      </c>
      <c r="D8" s="19">
        <v>1.3382212183958699</v>
      </c>
    </row>
  </sheetData>
  <mergeCells count="1">
    <mergeCell ref="F1:I1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F14" sqref="F14"/>
    </sheetView>
  </sheetViews>
  <sheetFormatPr defaultRowHeight="15" x14ac:dyDescent="0.25"/>
  <cols>
    <col min="1" max="1" width="22.85546875" customWidth="1"/>
    <col min="2" max="7" width="16.7109375" customWidth="1"/>
  </cols>
  <sheetData>
    <row r="1" spans="1:7" ht="32.1" customHeight="1" x14ac:dyDescent="0.25">
      <c r="A1" s="7" t="s">
        <v>0</v>
      </c>
      <c r="B1" s="24" t="s">
        <v>4</v>
      </c>
      <c r="C1" s="24" t="s">
        <v>5</v>
      </c>
      <c r="D1" s="24" t="s">
        <v>6</v>
      </c>
      <c r="E1" s="24" t="s">
        <v>7</v>
      </c>
      <c r="F1" s="24" t="s">
        <v>8</v>
      </c>
      <c r="G1" s="24" t="s">
        <v>9</v>
      </c>
    </row>
    <row r="2" spans="1:7" ht="21.95" customHeight="1" x14ac:dyDescent="0.25">
      <c r="A2" s="25" t="s">
        <v>4</v>
      </c>
      <c r="B2" s="26">
        <v>1</v>
      </c>
      <c r="C2" s="26">
        <v>0.21</v>
      </c>
      <c r="D2" s="26">
        <v>0.8</v>
      </c>
      <c r="E2" s="26">
        <v>-0.02</v>
      </c>
      <c r="F2" s="26">
        <v>0.85</v>
      </c>
      <c r="G2" s="26">
        <v>0.72</v>
      </c>
    </row>
    <row r="3" spans="1:7" ht="21.95" customHeight="1" x14ac:dyDescent="0.25">
      <c r="A3" s="25" t="s">
        <v>5</v>
      </c>
      <c r="B3" s="26">
        <v>0.21</v>
      </c>
      <c r="C3" s="26">
        <v>1</v>
      </c>
      <c r="D3" s="26">
        <v>0.2</v>
      </c>
      <c r="E3" s="26">
        <v>-0.08</v>
      </c>
      <c r="F3" s="26">
        <v>0.28999999999999998</v>
      </c>
      <c r="G3" s="26">
        <v>0.17</v>
      </c>
    </row>
    <row r="4" spans="1:7" ht="21.95" customHeight="1" x14ac:dyDescent="0.25">
      <c r="A4" s="25" t="s">
        <v>6</v>
      </c>
      <c r="B4" s="26">
        <v>0.8</v>
      </c>
      <c r="C4" s="26">
        <v>0.2</v>
      </c>
      <c r="D4" s="26">
        <v>1</v>
      </c>
      <c r="E4" s="26">
        <v>0.01</v>
      </c>
      <c r="F4" s="26">
        <v>0.72</v>
      </c>
      <c r="G4" s="26">
        <v>0.84</v>
      </c>
    </row>
    <row r="5" spans="1:7" ht="21.95" customHeight="1" x14ac:dyDescent="0.25">
      <c r="A5" s="25" t="s">
        <v>7</v>
      </c>
      <c r="B5" s="26">
        <v>-0.02</v>
      </c>
      <c r="C5" s="26">
        <v>-0.08</v>
      </c>
      <c r="D5" s="26">
        <v>0.01</v>
      </c>
      <c r="E5" s="26">
        <v>1</v>
      </c>
      <c r="F5" s="26">
        <v>0.17</v>
      </c>
      <c r="G5" s="26">
        <v>0.38</v>
      </c>
    </row>
    <row r="6" spans="1:7" ht="21.95" customHeight="1" x14ac:dyDescent="0.25">
      <c r="A6" s="25" t="s">
        <v>8</v>
      </c>
      <c r="B6" s="26">
        <v>0.85</v>
      </c>
      <c r="C6" s="26">
        <v>0.28999999999999998</v>
      </c>
      <c r="D6" s="26">
        <v>0.72</v>
      </c>
      <c r="E6" s="26">
        <v>0.17</v>
      </c>
      <c r="F6" s="26">
        <v>1</v>
      </c>
      <c r="G6" s="26">
        <v>0.78</v>
      </c>
    </row>
    <row r="7" spans="1:7" ht="21.95" customHeight="1" x14ac:dyDescent="0.25">
      <c r="A7" s="25" t="s">
        <v>9</v>
      </c>
      <c r="B7" s="26">
        <v>0.72</v>
      </c>
      <c r="C7" s="26">
        <v>0.17</v>
      </c>
      <c r="D7" s="26">
        <v>0.84</v>
      </c>
      <c r="E7" s="26">
        <v>0.38</v>
      </c>
      <c r="F7" s="26">
        <v>0.78</v>
      </c>
      <c r="G7" s="26">
        <v>1</v>
      </c>
    </row>
  </sheetData>
  <conditionalFormatting sqref="B2:G7">
    <cfRule type="colorScale" priority="1">
      <colorScale>
        <cfvo type="min"/>
        <cfvo type="num" val="0.5"/>
        <cfvo type="max"/>
        <color rgb="FF5B9BD5"/>
        <color rgb="FFFFFFFF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140625" style="3" customWidth="1"/>
    <col min="2" max="2" width="22.85546875" customWidth="1"/>
    <col min="3" max="4" width="13.28515625" customWidth="1"/>
  </cols>
  <sheetData>
    <row r="1" spans="1:4" ht="26.1" customHeight="1" x14ac:dyDescent="0.25">
      <c r="A1" s="40" t="s">
        <v>11</v>
      </c>
      <c r="B1" s="7" t="s">
        <v>12</v>
      </c>
      <c r="C1" s="28" t="s">
        <v>13</v>
      </c>
      <c r="D1" s="28" t="s">
        <v>16</v>
      </c>
    </row>
    <row r="2" spans="1:4" x14ac:dyDescent="0.25">
      <c r="A2" s="41">
        <v>45261</v>
      </c>
      <c r="B2" s="5" t="s">
        <v>4</v>
      </c>
      <c r="C2" s="43">
        <v>6.6837192306414606E-2</v>
      </c>
      <c r="D2" s="42">
        <f>YEAR(A2)</f>
        <v>2023</v>
      </c>
    </row>
    <row r="3" spans="1:4" x14ac:dyDescent="0.25">
      <c r="A3" s="41">
        <v>45292</v>
      </c>
      <c r="B3" s="5" t="s">
        <v>4</v>
      </c>
      <c r="C3" s="43">
        <v>1.8511598941304719E-2</v>
      </c>
      <c r="D3" s="42">
        <f t="shared" ref="D3:D66" si="0">YEAR(A3)</f>
        <v>2024</v>
      </c>
    </row>
    <row r="4" spans="1:4" x14ac:dyDescent="0.25">
      <c r="A4" s="41">
        <v>45323</v>
      </c>
      <c r="B4" s="5" t="s">
        <v>4</v>
      </c>
      <c r="C4" s="43">
        <v>4.1776853819226911E-2</v>
      </c>
      <c r="D4" s="42">
        <f t="shared" si="0"/>
        <v>2024</v>
      </c>
    </row>
    <row r="5" spans="1:4" x14ac:dyDescent="0.25">
      <c r="A5" s="41">
        <v>45352</v>
      </c>
      <c r="B5" s="5" t="s">
        <v>4</v>
      </c>
      <c r="C5" s="43">
        <v>1.660993074304495E-2</v>
      </c>
      <c r="D5" s="42">
        <f t="shared" si="0"/>
        <v>2024</v>
      </c>
    </row>
    <row r="6" spans="1:4" x14ac:dyDescent="0.25">
      <c r="A6" s="41">
        <v>45383</v>
      </c>
      <c r="B6" s="5" t="s">
        <v>4</v>
      </c>
      <c r="C6" s="43">
        <v>-3.2446163616419388E-2</v>
      </c>
      <c r="D6" s="42">
        <f t="shared" si="0"/>
        <v>2024</v>
      </c>
    </row>
    <row r="7" spans="1:4" x14ac:dyDescent="0.25">
      <c r="A7" s="41">
        <v>45413</v>
      </c>
      <c r="B7" s="5" t="s">
        <v>4</v>
      </c>
      <c r="C7" s="43">
        <v>3.4727609045885899E-2</v>
      </c>
      <c r="D7" s="42">
        <f t="shared" si="0"/>
        <v>2024</v>
      </c>
    </row>
    <row r="8" spans="1:4" x14ac:dyDescent="0.25">
      <c r="A8" s="41">
        <v>45444</v>
      </c>
      <c r="B8" s="5" t="s">
        <v>4</v>
      </c>
      <c r="C8" s="43">
        <v>8.611095092555221E-2</v>
      </c>
      <c r="D8" s="42">
        <f t="shared" si="0"/>
        <v>2024</v>
      </c>
    </row>
    <row r="9" spans="1:4" x14ac:dyDescent="0.25">
      <c r="A9" s="41">
        <v>45474</v>
      </c>
      <c r="B9" s="5" t="s">
        <v>4</v>
      </c>
      <c r="C9" s="43">
        <v>-2.3985558225042111E-2</v>
      </c>
      <c r="D9" s="42">
        <f t="shared" si="0"/>
        <v>2024</v>
      </c>
    </row>
    <row r="10" spans="1:4" x14ac:dyDescent="0.25">
      <c r="A10" s="41">
        <v>45505</v>
      </c>
      <c r="B10" s="5" t="s">
        <v>4</v>
      </c>
      <c r="C10" s="43">
        <v>2.9919760641914368E-3</v>
      </c>
      <c r="D10" s="42">
        <f t="shared" si="0"/>
        <v>2024</v>
      </c>
    </row>
    <row r="11" spans="1:4" x14ac:dyDescent="0.25">
      <c r="A11" s="41">
        <v>45536</v>
      </c>
      <c r="B11" s="5" t="s">
        <v>4</v>
      </c>
      <c r="C11" s="43">
        <v>3.072542372881348E-2</v>
      </c>
      <c r="D11" s="42">
        <f t="shared" si="0"/>
        <v>2024</v>
      </c>
    </row>
    <row r="12" spans="1:4" x14ac:dyDescent="0.25">
      <c r="A12" s="41">
        <v>45566</v>
      </c>
      <c r="B12" s="5" t="s">
        <v>4</v>
      </c>
      <c r="C12" s="43">
        <v>-1.4075984003367741E-3</v>
      </c>
      <c r="D12" s="42">
        <f t="shared" si="0"/>
        <v>2024</v>
      </c>
    </row>
    <row r="13" spans="1:4" x14ac:dyDescent="0.25">
      <c r="A13" s="41">
        <v>45597</v>
      </c>
      <c r="B13" s="5" t="s">
        <v>4</v>
      </c>
      <c r="C13" s="43">
        <v>4.7583290518910859E-2</v>
      </c>
      <c r="D13" s="42">
        <f t="shared" si="0"/>
        <v>2024</v>
      </c>
    </row>
    <row r="14" spans="1:4" x14ac:dyDescent="0.25">
      <c r="A14" s="41">
        <v>45627</v>
      </c>
      <c r="B14" s="5" t="s">
        <v>4</v>
      </c>
      <c r="C14" s="43">
        <v>1.8661737151192789E-2</v>
      </c>
      <c r="D14" s="42">
        <f t="shared" si="0"/>
        <v>2024</v>
      </c>
    </row>
    <row r="15" spans="1:4" x14ac:dyDescent="0.25">
      <c r="A15" s="41">
        <v>45658</v>
      </c>
      <c r="B15" s="5" t="s">
        <v>4</v>
      </c>
      <c r="C15" s="43">
        <v>2.340596259490146E-2</v>
      </c>
      <c r="D15" s="42">
        <f t="shared" si="0"/>
        <v>2025</v>
      </c>
    </row>
    <row r="16" spans="1:4" x14ac:dyDescent="0.25">
      <c r="A16" s="41">
        <v>45689</v>
      </c>
      <c r="B16" s="5" t="s">
        <v>4</v>
      </c>
      <c r="C16" s="43">
        <v>-5.4715865912353327E-2</v>
      </c>
      <c r="D16" s="42">
        <f t="shared" si="0"/>
        <v>2025</v>
      </c>
    </row>
    <row r="17" spans="1:4" x14ac:dyDescent="0.25">
      <c r="A17" s="41">
        <v>45717</v>
      </c>
      <c r="B17" s="5" t="s">
        <v>4</v>
      </c>
      <c r="C17" s="43">
        <v>-7.1396669431506465E-2</v>
      </c>
      <c r="D17" s="42">
        <f t="shared" si="0"/>
        <v>2025</v>
      </c>
    </row>
    <row r="18" spans="1:4" x14ac:dyDescent="0.25">
      <c r="A18" s="41">
        <v>45748</v>
      </c>
      <c r="B18" s="5" t="s">
        <v>4</v>
      </c>
      <c r="C18" s="43">
        <v>1.147450872612343E-2</v>
      </c>
      <c r="D18" s="42">
        <f t="shared" si="0"/>
        <v>2025</v>
      </c>
    </row>
    <row r="19" spans="1:4" x14ac:dyDescent="0.25">
      <c r="A19" s="41">
        <v>45778</v>
      </c>
      <c r="B19" s="5" t="s">
        <v>4</v>
      </c>
      <c r="C19" s="43">
        <v>0.1040010868826846</v>
      </c>
      <c r="D19" s="42">
        <f t="shared" si="0"/>
        <v>2025</v>
      </c>
    </row>
    <row r="20" spans="1:4" x14ac:dyDescent="0.25">
      <c r="A20" s="41">
        <v>45809</v>
      </c>
      <c r="B20" s="5" t="s">
        <v>4</v>
      </c>
      <c r="C20" s="43">
        <v>6.0300270735909489E-2</v>
      </c>
      <c r="D20" s="42">
        <f t="shared" si="0"/>
        <v>2025</v>
      </c>
    </row>
    <row r="21" spans="1:4" x14ac:dyDescent="0.25">
      <c r="A21" s="41">
        <v>45839</v>
      </c>
      <c r="B21" s="5" t="s">
        <v>4</v>
      </c>
      <c r="C21" s="43">
        <v>3.6211699164345301E-2</v>
      </c>
      <c r="D21" s="42">
        <f t="shared" si="0"/>
        <v>2025</v>
      </c>
    </row>
    <row r="22" spans="1:4" x14ac:dyDescent="0.25">
      <c r="A22" s="41">
        <v>45870</v>
      </c>
      <c r="B22" s="5" t="s">
        <v>4</v>
      </c>
      <c r="C22" s="43">
        <v>-1.4560931899642031E-3</v>
      </c>
      <c r="D22" s="42">
        <f t="shared" si="0"/>
        <v>2025</v>
      </c>
    </row>
    <row r="23" spans="1:4" x14ac:dyDescent="0.25">
      <c r="A23" s="41">
        <v>45901</v>
      </c>
      <c r="B23" s="5" t="s">
        <v>4</v>
      </c>
      <c r="C23" s="43">
        <v>4.8906337633202401E-2</v>
      </c>
      <c r="D23" s="42">
        <f t="shared" si="0"/>
        <v>2025</v>
      </c>
    </row>
    <row r="24" spans="1:4" x14ac:dyDescent="0.25">
      <c r="A24" s="41">
        <v>45931</v>
      </c>
      <c r="B24" s="5" t="s">
        <v>4</v>
      </c>
      <c r="C24" s="43">
        <v>5.4753502299219381E-2</v>
      </c>
      <c r="D24" s="42">
        <f t="shared" si="0"/>
        <v>2025</v>
      </c>
    </row>
    <row r="25" spans="1:4" x14ac:dyDescent="0.25">
      <c r="A25" s="41">
        <v>45962</v>
      </c>
      <c r="B25" s="5" t="s">
        <v>4</v>
      </c>
      <c r="C25" s="43">
        <v>-2.1595863327588009E-2</v>
      </c>
      <c r="D25" s="42">
        <f t="shared" si="0"/>
        <v>2025</v>
      </c>
    </row>
    <row r="26" spans="1:4" x14ac:dyDescent="0.25">
      <c r="A26" s="41">
        <v>45992</v>
      </c>
      <c r="B26" s="5" t="s">
        <v>4</v>
      </c>
      <c r="C26" s="43">
        <v>3.8341968911916879E-3</v>
      </c>
      <c r="D26" s="42">
        <f t="shared" si="0"/>
        <v>2025</v>
      </c>
    </row>
    <row r="27" spans="1:4" x14ac:dyDescent="0.25">
      <c r="A27" s="41">
        <v>46023</v>
      </c>
      <c r="B27" s="5" t="s">
        <v>4</v>
      </c>
      <c r="C27" s="43">
        <v>9.4972643749355878E-3</v>
      </c>
      <c r="D27" s="42">
        <f t="shared" si="0"/>
        <v>2026</v>
      </c>
    </row>
    <row r="28" spans="1:4" x14ac:dyDescent="0.25">
      <c r="A28" s="41">
        <v>46054</v>
      </c>
      <c r="B28" s="5" t="s">
        <v>4</v>
      </c>
      <c r="C28" s="43">
        <v>-2.8223744759177879E-2</v>
      </c>
      <c r="D28" s="42">
        <f t="shared" si="0"/>
        <v>2026</v>
      </c>
    </row>
    <row r="29" spans="1:4" x14ac:dyDescent="0.25">
      <c r="A29" s="41">
        <v>46082</v>
      </c>
      <c r="B29" s="5" t="s">
        <v>4</v>
      </c>
      <c r="C29" s="43">
        <v>-6.7452383457855425E-2</v>
      </c>
      <c r="D29" s="42">
        <f t="shared" si="0"/>
        <v>2026</v>
      </c>
    </row>
    <row r="30" spans="1:4" x14ac:dyDescent="0.25">
      <c r="A30" s="41">
        <v>46113</v>
      </c>
      <c r="B30" s="5" t="s">
        <v>4</v>
      </c>
      <c r="C30" s="43">
        <v>0.16677950801173561</v>
      </c>
      <c r="D30" s="42">
        <f t="shared" si="0"/>
        <v>2026</v>
      </c>
    </row>
    <row r="31" spans="1:4" x14ac:dyDescent="0.25">
      <c r="A31" s="41">
        <v>46143</v>
      </c>
      <c r="B31" s="5" t="s">
        <v>4</v>
      </c>
      <c r="C31" s="43">
        <v>0.11218568665377179</v>
      </c>
      <c r="D31" s="42">
        <f t="shared" si="0"/>
        <v>2026</v>
      </c>
    </row>
    <row r="32" spans="1:4" x14ac:dyDescent="0.25">
      <c r="A32" s="41">
        <v>46174</v>
      </c>
      <c r="B32" s="5" t="s">
        <v>4</v>
      </c>
      <c r="C32" s="43">
        <v>-6.2608695652174307E-3</v>
      </c>
      <c r="D32" s="42">
        <f t="shared" si="0"/>
        <v>2026</v>
      </c>
    </row>
    <row r="33" spans="1:4" x14ac:dyDescent="0.25">
      <c r="A33" s="41">
        <v>46204</v>
      </c>
      <c r="B33" s="5" t="s">
        <v>4</v>
      </c>
      <c r="C33" s="43">
        <v>-6.9478473923696216E-2</v>
      </c>
      <c r="D33" s="42">
        <f t="shared" si="0"/>
        <v>2026</v>
      </c>
    </row>
    <row r="34" spans="1:4" x14ac:dyDescent="0.25">
      <c r="A34" s="41">
        <v>46235</v>
      </c>
      <c r="B34" s="5" t="s">
        <v>4</v>
      </c>
      <c r="C34" s="43">
        <v>5.9432010532254997E-2</v>
      </c>
      <c r="D34" s="42">
        <f t="shared" si="0"/>
        <v>2026</v>
      </c>
    </row>
    <row r="35" spans="1:4" x14ac:dyDescent="0.25">
      <c r="A35" s="41">
        <v>46266</v>
      </c>
      <c r="B35" s="5" t="s">
        <v>4</v>
      </c>
      <c r="C35" s="43">
        <v>3.0711876442393041E-2</v>
      </c>
      <c r="D35" s="42">
        <f t="shared" si="0"/>
        <v>2026</v>
      </c>
    </row>
    <row r="36" spans="1:4" x14ac:dyDescent="0.25">
      <c r="A36" s="41">
        <v>45261</v>
      </c>
      <c r="B36" s="5" t="s">
        <v>5</v>
      </c>
      <c r="C36" s="43">
        <v>9.5071934335152708E-2</v>
      </c>
      <c r="D36" s="42">
        <f t="shared" si="0"/>
        <v>2023</v>
      </c>
    </row>
    <row r="37" spans="1:4" x14ac:dyDescent="0.25">
      <c r="A37" s="41">
        <v>45292</v>
      </c>
      <c r="B37" s="5" t="s">
        <v>5</v>
      </c>
      <c r="C37" s="43">
        <v>1.5531708001745191E-2</v>
      </c>
      <c r="D37" s="42">
        <f t="shared" si="0"/>
        <v>2024</v>
      </c>
    </row>
    <row r="38" spans="1:4" x14ac:dyDescent="0.25">
      <c r="A38" s="41">
        <v>45323</v>
      </c>
      <c r="B38" s="5" t="s">
        <v>5</v>
      </c>
      <c r="C38" s="43">
        <v>-5.0588207064723438E-2</v>
      </c>
      <c r="D38" s="42">
        <f t="shared" si="0"/>
        <v>2024</v>
      </c>
    </row>
    <row r="39" spans="1:4" x14ac:dyDescent="0.25">
      <c r="A39" s="41">
        <v>45352</v>
      </c>
      <c r="B39" s="5" t="s">
        <v>5</v>
      </c>
      <c r="C39" s="43">
        <v>5.080528724722444E-2</v>
      </c>
      <c r="D39" s="42">
        <f t="shared" si="0"/>
        <v>2024</v>
      </c>
    </row>
    <row r="40" spans="1:4" x14ac:dyDescent="0.25">
      <c r="A40" s="41">
        <v>45383</v>
      </c>
      <c r="B40" s="5" t="s">
        <v>5</v>
      </c>
      <c r="C40" s="43">
        <v>-7.1780798228649245E-2</v>
      </c>
      <c r="D40" s="42">
        <f t="shared" si="0"/>
        <v>2024</v>
      </c>
    </row>
    <row r="41" spans="1:4" x14ac:dyDescent="0.25">
      <c r="A41" s="41">
        <v>45413</v>
      </c>
      <c r="B41" s="5" t="s">
        <v>5</v>
      </c>
      <c r="C41" s="43">
        <v>5.9322116793243403E-2</v>
      </c>
      <c r="D41" s="42">
        <f t="shared" si="0"/>
        <v>2024</v>
      </c>
    </row>
    <row r="42" spans="1:4" x14ac:dyDescent="0.25">
      <c r="A42" s="41">
        <v>45444</v>
      </c>
      <c r="B42" s="5" t="s">
        <v>5</v>
      </c>
      <c r="C42" s="43">
        <v>-9.1999972848864076E-2</v>
      </c>
      <c r="D42" s="42">
        <f t="shared" si="0"/>
        <v>2024</v>
      </c>
    </row>
    <row r="43" spans="1:4" x14ac:dyDescent="0.25">
      <c r="A43" s="41">
        <v>45474</v>
      </c>
      <c r="B43" s="5" t="s">
        <v>5</v>
      </c>
      <c r="C43" s="43">
        <v>2.0704868659603189E-2</v>
      </c>
      <c r="D43" s="42">
        <f t="shared" si="0"/>
        <v>2024</v>
      </c>
    </row>
    <row r="44" spans="1:4" x14ac:dyDescent="0.25">
      <c r="A44" s="41">
        <v>45505</v>
      </c>
      <c r="B44" s="5" t="s">
        <v>5</v>
      </c>
      <c r="C44" s="43">
        <v>-3.3844895131425967E-2</v>
      </c>
      <c r="D44" s="42">
        <f t="shared" si="0"/>
        <v>2024</v>
      </c>
    </row>
    <row r="45" spans="1:4" x14ac:dyDescent="0.25">
      <c r="A45" s="41">
        <v>45536</v>
      </c>
      <c r="B45" s="5" t="s">
        <v>5</v>
      </c>
      <c r="C45" s="43">
        <v>1.117078649444792E-2</v>
      </c>
      <c r="D45" s="42">
        <f t="shared" si="0"/>
        <v>2024</v>
      </c>
    </row>
    <row r="46" spans="1:4" x14ac:dyDescent="0.25">
      <c r="A46" s="41">
        <v>45566</v>
      </c>
      <c r="B46" s="5" t="s">
        <v>5</v>
      </c>
      <c r="C46" s="43">
        <v>-4.0654107361909109E-2</v>
      </c>
      <c r="D46" s="42">
        <f t="shared" si="0"/>
        <v>2024</v>
      </c>
    </row>
    <row r="47" spans="1:4" x14ac:dyDescent="0.25">
      <c r="A47" s="41">
        <v>45597</v>
      </c>
      <c r="B47" s="5" t="s">
        <v>5</v>
      </c>
      <c r="C47" s="43">
        <v>1.9345978761459159E-2</v>
      </c>
      <c r="D47" s="42">
        <f t="shared" si="0"/>
        <v>2024</v>
      </c>
    </row>
    <row r="48" spans="1:4" x14ac:dyDescent="0.25">
      <c r="A48" s="41">
        <v>45627</v>
      </c>
      <c r="B48" s="5" t="s">
        <v>5</v>
      </c>
      <c r="C48" s="43">
        <v>3.8409376660769823E-2</v>
      </c>
      <c r="D48" s="42">
        <f t="shared" si="0"/>
        <v>2024</v>
      </c>
    </row>
    <row r="49" spans="1:4" x14ac:dyDescent="0.25">
      <c r="A49" s="41">
        <v>45658</v>
      </c>
      <c r="B49" s="5" t="s">
        <v>5</v>
      </c>
      <c r="C49" s="43">
        <v>5.439507224835527E-2</v>
      </c>
      <c r="D49" s="42">
        <f t="shared" si="0"/>
        <v>2025</v>
      </c>
    </row>
    <row r="50" spans="1:4" x14ac:dyDescent="0.25">
      <c r="A50" s="41">
        <v>45689</v>
      </c>
      <c r="B50" s="5" t="s">
        <v>5</v>
      </c>
      <c r="C50" s="43">
        <v>9.9050957983342069E-3</v>
      </c>
      <c r="D50" s="42">
        <f t="shared" si="0"/>
        <v>2025</v>
      </c>
    </row>
    <row r="51" spans="1:4" x14ac:dyDescent="0.25">
      <c r="A51" s="41">
        <v>45717</v>
      </c>
      <c r="B51" s="5" t="s">
        <v>5</v>
      </c>
      <c r="C51" s="43">
        <v>-7.7646482432901509E-3</v>
      </c>
      <c r="D51" s="42">
        <f t="shared" si="0"/>
        <v>2025</v>
      </c>
    </row>
    <row r="52" spans="1:4" x14ac:dyDescent="0.25">
      <c r="A52" s="41">
        <v>45748</v>
      </c>
      <c r="B52" s="5" t="s">
        <v>5</v>
      </c>
      <c r="C52" s="43">
        <v>-3.3593269675462167E-2</v>
      </c>
      <c r="D52" s="42">
        <f t="shared" si="0"/>
        <v>2025</v>
      </c>
    </row>
    <row r="53" spans="1:4" x14ac:dyDescent="0.25">
      <c r="A53" s="41">
        <v>45778</v>
      </c>
      <c r="B53" s="5" t="s">
        <v>5</v>
      </c>
      <c r="C53" s="43">
        <v>6.0554294949507481E-2</v>
      </c>
      <c r="D53" s="42">
        <f t="shared" si="0"/>
        <v>2025</v>
      </c>
    </row>
    <row r="54" spans="1:4" x14ac:dyDescent="0.25">
      <c r="A54" s="41">
        <v>45809</v>
      </c>
      <c r="B54" s="5" t="s">
        <v>5</v>
      </c>
      <c r="C54" s="43">
        <v>2.3723475251101519E-2</v>
      </c>
      <c r="D54" s="42">
        <f t="shared" si="0"/>
        <v>2025</v>
      </c>
    </row>
    <row r="55" spans="1:4" x14ac:dyDescent="0.25">
      <c r="A55" s="41">
        <v>45839</v>
      </c>
      <c r="B55" s="5" t="s">
        <v>5</v>
      </c>
      <c r="C55" s="43">
        <v>8.6408802324169365E-3</v>
      </c>
      <c r="D55" s="42">
        <f t="shared" si="0"/>
        <v>2025</v>
      </c>
    </row>
    <row r="56" spans="1:4" x14ac:dyDescent="0.25">
      <c r="A56" s="41">
        <v>45870</v>
      </c>
      <c r="B56" s="5" t="s">
        <v>5</v>
      </c>
      <c r="C56" s="43">
        <v>-3.5988476093234738E-2</v>
      </c>
      <c r="D56" s="42">
        <f t="shared" si="0"/>
        <v>2025</v>
      </c>
    </row>
    <row r="57" spans="1:4" x14ac:dyDescent="0.25">
      <c r="A57" s="41">
        <v>45901</v>
      </c>
      <c r="B57" s="5" t="s">
        <v>5</v>
      </c>
      <c r="C57" s="43">
        <v>-3.8383869296452322E-2</v>
      </c>
      <c r="D57" s="42">
        <f t="shared" si="0"/>
        <v>2025</v>
      </c>
    </row>
    <row r="58" spans="1:4" x14ac:dyDescent="0.25">
      <c r="A58" s="41">
        <v>45931</v>
      </c>
      <c r="B58" s="5" t="s">
        <v>5</v>
      </c>
      <c r="C58" s="43">
        <v>-8.4028415669112899E-4</v>
      </c>
      <c r="D58" s="42">
        <f t="shared" si="0"/>
        <v>2025</v>
      </c>
    </row>
    <row r="59" spans="1:4" x14ac:dyDescent="0.25">
      <c r="A59" s="41">
        <v>45962</v>
      </c>
      <c r="B59" s="5" t="s">
        <v>5</v>
      </c>
      <c r="C59" s="43">
        <v>3.8267394497906171E-2</v>
      </c>
      <c r="D59" s="42">
        <f t="shared" si="0"/>
        <v>2025</v>
      </c>
    </row>
    <row r="60" spans="1:4" x14ac:dyDescent="0.25">
      <c r="A60" s="41">
        <v>45992</v>
      </c>
      <c r="B60" s="5" t="s">
        <v>5</v>
      </c>
      <c r="C60" s="43">
        <v>6.0753294839217098E-2</v>
      </c>
      <c r="D60" s="42">
        <f t="shared" si="0"/>
        <v>2025</v>
      </c>
    </row>
    <row r="61" spans="1:4" x14ac:dyDescent="0.25">
      <c r="A61" s="41">
        <v>46023</v>
      </c>
      <c r="B61" s="5" t="s">
        <v>5</v>
      </c>
      <c r="C61" s="43">
        <v>1.221846510655933E-2</v>
      </c>
      <c r="D61" s="42">
        <f t="shared" si="0"/>
        <v>2026</v>
      </c>
    </row>
    <row r="62" spans="1:4" x14ac:dyDescent="0.25">
      <c r="A62" s="41">
        <v>46054</v>
      </c>
      <c r="B62" s="5" t="s">
        <v>5</v>
      </c>
      <c r="C62" s="43">
        <v>2.338745178377977E-2</v>
      </c>
      <c r="D62" s="42">
        <f t="shared" si="0"/>
        <v>2026</v>
      </c>
    </row>
    <row r="63" spans="1:4" x14ac:dyDescent="0.25">
      <c r="A63" s="41">
        <v>46082</v>
      </c>
      <c r="B63" s="5" t="s">
        <v>5</v>
      </c>
      <c r="C63" s="43">
        <v>-9.214894845293975E-2</v>
      </c>
      <c r="D63" s="42">
        <f t="shared" si="0"/>
        <v>2026</v>
      </c>
    </row>
    <row r="64" spans="1:4" x14ac:dyDescent="0.25">
      <c r="A64" s="41">
        <v>46113</v>
      </c>
      <c r="B64" s="5" t="s">
        <v>5</v>
      </c>
      <c r="C64" s="43">
        <v>2.2521003214017728E-2</v>
      </c>
      <c r="D64" s="42">
        <f t="shared" si="0"/>
        <v>2026</v>
      </c>
    </row>
    <row r="65" spans="1:4" x14ac:dyDescent="0.25">
      <c r="A65" s="41">
        <v>46143</v>
      </c>
      <c r="B65" s="5" t="s">
        <v>5</v>
      </c>
      <c r="C65" s="43">
        <v>7.8267788352831547E-2</v>
      </c>
      <c r="D65" s="42">
        <f t="shared" si="0"/>
        <v>2026</v>
      </c>
    </row>
    <row r="66" spans="1:4" x14ac:dyDescent="0.25">
      <c r="A66" s="41">
        <v>46174</v>
      </c>
      <c r="B66" s="5" t="s">
        <v>5</v>
      </c>
      <c r="C66" s="43">
        <v>5.3795178764854512E-2</v>
      </c>
      <c r="D66" s="42">
        <f t="shared" si="0"/>
        <v>2026</v>
      </c>
    </row>
    <row r="67" spans="1:4" x14ac:dyDescent="0.25">
      <c r="A67" s="41">
        <v>46204</v>
      </c>
      <c r="B67" s="5" t="s">
        <v>5</v>
      </c>
      <c r="C67" s="43">
        <v>5.0349606166097738E-2</v>
      </c>
      <c r="D67" s="42">
        <f t="shared" ref="D67:D130" si="1">YEAR(A67)</f>
        <v>2026</v>
      </c>
    </row>
    <row r="68" spans="1:4" x14ac:dyDescent="0.25">
      <c r="A68" s="41">
        <v>46235</v>
      </c>
      <c r="B68" s="5" t="s">
        <v>5</v>
      </c>
      <c r="C68" s="43">
        <v>-2.309772364752094E-2</v>
      </c>
      <c r="D68" s="42">
        <f t="shared" si="1"/>
        <v>2026</v>
      </c>
    </row>
    <row r="69" spans="1:4" x14ac:dyDescent="0.25">
      <c r="A69" s="41">
        <v>46266</v>
      </c>
      <c r="B69" s="5" t="s">
        <v>5</v>
      </c>
      <c r="C69" s="43">
        <v>-4.7716221050035923E-3</v>
      </c>
      <c r="D69" s="42">
        <f t="shared" si="1"/>
        <v>2026</v>
      </c>
    </row>
    <row r="70" spans="1:4" x14ac:dyDescent="0.25">
      <c r="A70" s="41">
        <v>45261</v>
      </c>
      <c r="B70" s="5" t="s">
        <v>6</v>
      </c>
      <c r="C70" s="43">
        <v>0.1083835462850973</v>
      </c>
      <c r="D70" s="42">
        <f t="shared" si="1"/>
        <v>2023</v>
      </c>
    </row>
    <row r="71" spans="1:4" x14ac:dyDescent="0.25">
      <c r="A71" s="41">
        <v>45292</v>
      </c>
      <c r="B71" s="5" t="s">
        <v>6</v>
      </c>
      <c r="C71" s="43">
        <v>-0.1947373797872877</v>
      </c>
      <c r="D71" s="42">
        <f t="shared" si="1"/>
        <v>2024</v>
      </c>
    </row>
    <row r="72" spans="1:4" x14ac:dyDescent="0.25">
      <c r="A72" s="41">
        <v>45323</v>
      </c>
      <c r="B72" s="5" t="s">
        <v>6</v>
      </c>
      <c r="C72" s="43">
        <v>0.11165333018110141</v>
      </c>
      <c r="D72" s="42">
        <f t="shared" si="1"/>
        <v>2024</v>
      </c>
    </row>
    <row r="73" spans="1:4" x14ac:dyDescent="0.25">
      <c r="A73" s="41">
        <v>45352</v>
      </c>
      <c r="B73" s="5" t="s">
        <v>6</v>
      </c>
      <c r="C73" s="43">
        <v>4.9956038043482247E-2</v>
      </c>
      <c r="D73" s="42">
        <f t="shared" si="1"/>
        <v>2024</v>
      </c>
    </row>
    <row r="74" spans="1:4" x14ac:dyDescent="0.25">
      <c r="A74" s="41">
        <v>45383</v>
      </c>
      <c r="B74" s="5" t="s">
        <v>6</v>
      </c>
      <c r="C74" s="43">
        <v>-4.3398283242636282E-2</v>
      </c>
      <c r="D74" s="42">
        <f t="shared" si="1"/>
        <v>2024</v>
      </c>
    </row>
    <row r="75" spans="1:4" x14ac:dyDescent="0.25">
      <c r="A75" s="41">
        <v>45413</v>
      </c>
      <c r="B75" s="5" t="s">
        <v>6</v>
      </c>
      <c r="C75" s="43">
        <v>5.3146921119877177E-2</v>
      </c>
      <c r="D75" s="42">
        <f t="shared" si="1"/>
        <v>2024</v>
      </c>
    </row>
    <row r="76" spans="1:4" x14ac:dyDescent="0.25">
      <c r="A76" s="41">
        <v>45444</v>
      </c>
      <c r="B76" s="5" t="s">
        <v>6</v>
      </c>
      <c r="C76" s="43">
        <v>9.1633471181273851E-2</v>
      </c>
      <c r="D76" s="42">
        <f t="shared" si="1"/>
        <v>2024</v>
      </c>
    </row>
    <row r="77" spans="1:4" x14ac:dyDescent="0.25">
      <c r="A77" s="41">
        <v>45474</v>
      </c>
      <c r="B77" s="5" t="s">
        <v>6</v>
      </c>
      <c r="C77" s="43">
        <v>-8.4549910984599075E-2</v>
      </c>
      <c r="D77" s="42">
        <f t="shared" si="1"/>
        <v>2024</v>
      </c>
    </row>
    <row r="78" spans="1:4" x14ac:dyDescent="0.25">
      <c r="A78" s="41">
        <v>45505</v>
      </c>
      <c r="B78" s="5" t="s">
        <v>6</v>
      </c>
      <c r="C78" s="43">
        <v>-4.2441833985420008E-2</v>
      </c>
      <c r="D78" s="42">
        <f t="shared" si="1"/>
        <v>2024</v>
      </c>
    </row>
    <row r="79" spans="1:4" x14ac:dyDescent="0.25">
      <c r="A79" s="41">
        <v>45536</v>
      </c>
      <c r="B79" s="5" t="s">
        <v>6</v>
      </c>
      <c r="C79" s="43">
        <v>-1.2316783319228249E-2</v>
      </c>
      <c r="D79" s="42">
        <f t="shared" si="1"/>
        <v>2024</v>
      </c>
    </row>
    <row r="80" spans="1:4" x14ac:dyDescent="0.25">
      <c r="A80" s="41">
        <v>45566</v>
      </c>
      <c r="B80" s="5" t="s">
        <v>6</v>
      </c>
      <c r="C80" s="43">
        <v>-1.2031271003217331E-2</v>
      </c>
      <c r="D80" s="42">
        <f t="shared" si="1"/>
        <v>2024</v>
      </c>
    </row>
    <row r="81" spans="1:4" x14ac:dyDescent="0.25">
      <c r="A81" s="41">
        <v>45597</v>
      </c>
      <c r="B81" s="5" t="s">
        <v>6</v>
      </c>
      <c r="C81" s="43">
        <v>7.5555589463975892E-3</v>
      </c>
      <c r="D81" s="42">
        <f t="shared" si="1"/>
        <v>2024</v>
      </c>
    </row>
    <row r="82" spans="1:4" x14ac:dyDescent="0.25">
      <c r="A82" s="41">
        <v>45627</v>
      </c>
      <c r="B82" s="5" t="s">
        <v>6</v>
      </c>
      <c r="C82" s="43">
        <v>2.8319373454065429E-2</v>
      </c>
      <c r="D82" s="42">
        <f t="shared" si="1"/>
        <v>2024</v>
      </c>
    </row>
    <row r="83" spans="1:4" x14ac:dyDescent="0.25">
      <c r="A83" s="41">
        <v>45658</v>
      </c>
      <c r="B83" s="5" t="s">
        <v>6</v>
      </c>
      <c r="C83" s="43">
        <v>3.8263563308804649E-2</v>
      </c>
      <c r="D83" s="42">
        <f t="shared" si="1"/>
        <v>2025</v>
      </c>
    </row>
    <row r="84" spans="1:4" x14ac:dyDescent="0.25">
      <c r="A84" s="41">
        <v>45689</v>
      </c>
      <c r="B84" s="5" t="s">
        <v>6</v>
      </c>
      <c r="C84" s="43">
        <v>-7.8912568587204301E-2</v>
      </c>
      <c r="D84" s="42">
        <f t="shared" si="1"/>
        <v>2025</v>
      </c>
    </row>
    <row r="85" spans="1:4" x14ac:dyDescent="0.25">
      <c r="A85" s="41">
        <v>45717</v>
      </c>
      <c r="B85" s="5" t="s">
        <v>6</v>
      </c>
      <c r="C85" s="43">
        <v>-0.1247870017625051</v>
      </c>
      <c r="D85" s="42">
        <f t="shared" si="1"/>
        <v>2025</v>
      </c>
    </row>
    <row r="86" spans="1:4" x14ac:dyDescent="0.25">
      <c r="A86" s="41">
        <v>45748</v>
      </c>
      <c r="B86" s="5" t="s">
        <v>6</v>
      </c>
      <c r="C86" s="43">
        <v>-3.9565364572717983E-2</v>
      </c>
      <c r="D86" s="42">
        <f t="shared" si="1"/>
        <v>2025</v>
      </c>
    </row>
    <row r="87" spans="1:4" x14ac:dyDescent="0.25">
      <c r="A87" s="41">
        <v>45778</v>
      </c>
      <c r="B87" s="5" t="s">
        <v>6</v>
      </c>
      <c r="C87" s="43">
        <v>0.12636072889216929</v>
      </c>
      <c r="D87" s="42">
        <f t="shared" si="1"/>
        <v>2025</v>
      </c>
    </row>
    <row r="88" spans="1:4" x14ac:dyDescent="0.25">
      <c r="A88" s="41">
        <v>45809</v>
      </c>
      <c r="B88" s="5" t="s">
        <v>6</v>
      </c>
      <c r="C88" s="43">
        <v>0.14534777441201599</v>
      </c>
      <c r="D88" s="42">
        <f t="shared" si="1"/>
        <v>2025</v>
      </c>
    </row>
    <row r="89" spans="1:4" x14ac:dyDescent="0.25">
      <c r="A89" s="41">
        <v>45839</v>
      </c>
      <c r="B89" s="5" t="s">
        <v>6</v>
      </c>
      <c r="C89" s="43">
        <v>3.6896102597933973E-2</v>
      </c>
      <c r="D89" s="42">
        <f t="shared" si="1"/>
        <v>2025</v>
      </c>
    </row>
    <row r="90" spans="1:4" x14ac:dyDescent="0.25">
      <c r="A90" s="41">
        <v>45870</v>
      </c>
      <c r="B90" s="5" t="s">
        <v>6</v>
      </c>
      <c r="C90" s="43">
        <v>-6.701817839841806E-3</v>
      </c>
      <c r="D90" s="42">
        <f t="shared" si="1"/>
        <v>2025</v>
      </c>
    </row>
    <row r="91" spans="1:4" x14ac:dyDescent="0.25">
      <c r="A91" s="41">
        <v>45901</v>
      </c>
      <c r="B91" s="5" t="s">
        <v>6</v>
      </c>
      <c r="C91" s="43">
        <v>0.14506022357649931</v>
      </c>
      <c r="D91" s="42">
        <f t="shared" si="1"/>
        <v>2025</v>
      </c>
    </row>
    <row r="92" spans="1:4" x14ac:dyDescent="0.25">
      <c r="A92" s="41">
        <v>45931</v>
      </c>
      <c r="B92" s="5" t="s">
        <v>6</v>
      </c>
      <c r="C92" s="43">
        <v>0.18588669002820951</v>
      </c>
      <c r="D92" s="42">
        <f t="shared" si="1"/>
        <v>2025</v>
      </c>
    </row>
    <row r="93" spans="1:4" x14ac:dyDescent="0.25">
      <c r="A93" s="41">
        <v>45962</v>
      </c>
      <c r="B93" s="5" t="s">
        <v>6</v>
      </c>
      <c r="C93" s="43">
        <v>-4.1464581091254733E-2</v>
      </c>
      <c r="D93" s="42">
        <f t="shared" si="1"/>
        <v>2025</v>
      </c>
    </row>
    <row r="94" spans="1:4" x14ac:dyDescent="0.25">
      <c r="A94" s="41">
        <v>45992</v>
      </c>
      <c r="B94" s="5" t="s">
        <v>6</v>
      </c>
      <c r="C94" s="43">
        <v>2.5794462792106509E-2</v>
      </c>
      <c r="D94" s="42">
        <f t="shared" si="1"/>
        <v>2025</v>
      </c>
    </row>
    <row r="95" spans="1:4" x14ac:dyDescent="0.25">
      <c r="A95" s="41">
        <v>46023</v>
      </c>
      <c r="B95" s="5" t="s">
        <v>6</v>
      </c>
      <c r="C95" s="43">
        <v>0.1716297166377192</v>
      </c>
      <c r="D95" s="42">
        <f t="shared" si="1"/>
        <v>2026</v>
      </c>
    </row>
    <row r="96" spans="1:4" x14ac:dyDescent="0.25">
      <c r="A96" s="41">
        <v>46054</v>
      </c>
      <c r="B96" s="5" t="s">
        <v>6</v>
      </c>
      <c r="C96" s="43">
        <v>3.3066390050840111E-2</v>
      </c>
      <c r="D96" s="42">
        <f t="shared" si="1"/>
        <v>2026</v>
      </c>
    </row>
    <row r="97" spans="1:4" x14ac:dyDescent="0.25">
      <c r="A97" s="41">
        <v>46082</v>
      </c>
      <c r="B97" s="5" t="s">
        <v>6</v>
      </c>
      <c r="C97" s="43">
        <v>-9.5328086228839148E-2</v>
      </c>
      <c r="D97" s="42">
        <f t="shared" si="1"/>
        <v>2026</v>
      </c>
    </row>
    <row r="98" spans="1:4" x14ac:dyDescent="0.25">
      <c r="A98" s="41">
        <v>46113</v>
      </c>
      <c r="B98" s="5" t="s">
        <v>6</v>
      </c>
      <c r="C98" s="43">
        <v>0.36050985582238049</v>
      </c>
      <c r="D98" s="42">
        <f t="shared" si="1"/>
        <v>2026</v>
      </c>
    </row>
    <row r="99" spans="1:4" x14ac:dyDescent="0.25">
      <c r="A99" s="41">
        <v>46143</v>
      </c>
      <c r="B99" s="5" t="s">
        <v>6</v>
      </c>
      <c r="C99" s="43">
        <v>0.28299141646900511</v>
      </c>
      <c r="D99" s="42">
        <f t="shared" si="1"/>
        <v>2026</v>
      </c>
    </row>
    <row r="100" spans="1:4" x14ac:dyDescent="0.25">
      <c r="A100" s="41">
        <v>46174</v>
      </c>
      <c r="B100" s="5" t="s">
        <v>6</v>
      </c>
      <c r="C100" s="43">
        <v>0.13294722109528109</v>
      </c>
      <c r="D100" s="42">
        <f t="shared" si="1"/>
        <v>2026</v>
      </c>
    </row>
    <row r="101" spans="1:4" x14ac:dyDescent="0.25">
      <c r="A101" s="41">
        <v>46204</v>
      </c>
      <c r="B101" s="5" t="s">
        <v>6</v>
      </c>
      <c r="C101" s="43">
        <v>-0.22513608590805459</v>
      </c>
      <c r="D101" s="42">
        <f t="shared" si="1"/>
        <v>2026</v>
      </c>
    </row>
    <row r="102" spans="1:4" x14ac:dyDescent="0.25">
      <c r="A102" s="41">
        <v>46235</v>
      </c>
      <c r="B102" s="5" t="s">
        <v>6</v>
      </c>
      <c r="C102" s="43">
        <v>3.4561906462371013E-2</v>
      </c>
      <c r="D102" s="42">
        <f t="shared" si="1"/>
        <v>2026</v>
      </c>
    </row>
    <row r="103" spans="1:4" x14ac:dyDescent="0.25">
      <c r="A103" s="41">
        <v>46266</v>
      </c>
      <c r="B103" s="5" t="s">
        <v>6</v>
      </c>
      <c r="C103" s="43">
        <v>0.1139451068835018</v>
      </c>
      <c r="D103" s="42">
        <f t="shared" si="1"/>
        <v>2026</v>
      </c>
    </row>
    <row r="104" spans="1:4" x14ac:dyDescent="0.25">
      <c r="A104" s="41">
        <v>45261</v>
      </c>
      <c r="B104" s="5" t="s">
        <v>7</v>
      </c>
      <c r="C104" s="43">
        <v>6.3775510204082666E-3</v>
      </c>
      <c r="D104" s="42">
        <f t="shared" si="1"/>
        <v>2023</v>
      </c>
    </row>
    <row r="105" spans="1:4" x14ac:dyDescent="0.25">
      <c r="A105" s="41">
        <v>45292</v>
      </c>
      <c r="B105" s="5" t="s">
        <v>7</v>
      </c>
      <c r="C105" s="43">
        <v>-5.5449936628644281E-3</v>
      </c>
      <c r="D105" s="42">
        <f t="shared" si="1"/>
        <v>2024</v>
      </c>
    </row>
    <row r="106" spans="1:4" x14ac:dyDescent="0.25">
      <c r="A106" s="41">
        <v>45323</v>
      </c>
      <c r="B106" s="5" t="s">
        <v>7</v>
      </c>
      <c r="C106" s="43">
        <v>3.3455472359407161E-3</v>
      </c>
      <c r="D106" s="42">
        <f t="shared" si="1"/>
        <v>2024</v>
      </c>
    </row>
    <row r="107" spans="1:4" x14ac:dyDescent="0.25">
      <c r="A107" s="41">
        <v>45352</v>
      </c>
      <c r="B107" s="5" t="s">
        <v>7</v>
      </c>
      <c r="C107" s="43">
        <v>8.4788821848205798E-2</v>
      </c>
      <c r="D107" s="42">
        <f t="shared" si="1"/>
        <v>2024</v>
      </c>
    </row>
    <row r="108" spans="1:4" x14ac:dyDescent="0.25">
      <c r="A108" s="41">
        <v>45383</v>
      </c>
      <c r="B108" s="5" t="s">
        <v>7</v>
      </c>
      <c r="C108" s="43">
        <v>4.508196721311486E-2</v>
      </c>
      <c r="D108" s="42">
        <f t="shared" si="1"/>
        <v>2024</v>
      </c>
    </row>
    <row r="109" spans="1:4" x14ac:dyDescent="0.25">
      <c r="A109" s="41">
        <v>45413</v>
      </c>
      <c r="B109" s="5" t="s">
        <v>7</v>
      </c>
      <c r="C109" s="43">
        <v>-1.9607843137254828E-3</v>
      </c>
      <c r="D109" s="42">
        <f t="shared" si="1"/>
        <v>2024</v>
      </c>
    </row>
    <row r="110" spans="1:4" x14ac:dyDescent="0.25">
      <c r="A110" s="41">
        <v>45444</v>
      </c>
      <c r="B110" s="5" t="s">
        <v>7</v>
      </c>
      <c r="C110" s="43">
        <v>5.6132472635419539E-3</v>
      </c>
      <c r="D110" s="42">
        <f t="shared" si="1"/>
        <v>2024</v>
      </c>
    </row>
    <row r="111" spans="1:4" x14ac:dyDescent="0.25">
      <c r="A111" s="41">
        <v>45474</v>
      </c>
      <c r="B111" s="5" t="s">
        <v>7</v>
      </c>
      <c r="C111" s="43">
        <v>2.3025397711414989E-2</v>
      </c>
      <c r="D111" s="42">
        <f t="shared" si="1"/>
        <v>2024</v>
      </c>
    </row>
    <row r="112" spans="1:4" x14ac:dyDescent="0.25">
      <c r="A112" s="41">
        <v>45505</v>
      </c>
      <c r="B112" s="5" t="s">
        <v>7</v>
      </c>
      <c r="C112" s="43">
        <v>1.132178420406493E-2</v>
      </c>
      <c r="D112" s="42">
        <f t="shared" si="1"/>
        <v>2024</v>
      </c>
    </row>
    <row r="113" spans="1:4" x14ac:dyDescent="0.25">
      <c r="A113" s="41">
        <v>45536</v>
      </c>
      <c r="B113" s="5" t="s">
        <v>7</v>
      </c>
      <c r="C113" s="43">
        <v>2.9943350418127901E-2</v>
      </c>
      <c r="D113" s="42">
        <f t="shared" si="1"/>
        <v>2024</v>
      </c>
    </row>
    <row r="114" spans="1:4" x14ac:dyDescent="0.25">
      <c r="A114" s="41">
        <v>45566</v>
      </c>
      <c r="B114" s="5" t="s">
        <v>7</v>
      </c>
      <c r="C114" s="43">
        <v>8.407543216343627E-2</v>
      </c>
      <c r="D114" s="42">
        <f t="shared" si="1"/>
        <v>2024</v>
      </c>
    </row>
    <row r="115" spans="1:4" x14ac:dyDescent="0.25">
      <c r="A115" s="41">
        <v>45597</v>
      </c>
      <c r="B115" s="5" t="s">
        <v>7</v>
      </c>
      <c r="C115" s="43">
        <v>-1.642908915196906E-2</v>
      </c>
      <c r="D115" s="42">
        <f t="shared" si="1"/>
        <v>2024</v>
      </c>
    </row>
    <row r="116" spans="1:4" x14ac:dyDescent="0.25">
      <c r="A116" s="41">
        <v>45627</v>
      </c>
      <c r="B116" s="5" t="s">
        <v>7</v>
      </c>
      <c r="C116" s="43">
        <v>-6.1409972979611371E-3</v>
      </c>
      <c r="D116" s="42">
        <f t="shared" si="1"/>
        <v>2024</v>
      </c>
    </row>
    <row r="117" spans="1:4" x14ac:dyDescent="0.25">
      <c r="A117" s="41">
        <v>45658</v>
      </c>
      <c r="B117" s="5" t="s">
        <v>7</v>
      </c>
      <c r="C117" s="43">
        <v>8.4527928818586284E-2</v>
      </c>
      <c r="D117" s="42">
        <f t="shared" si="1"/>
        <v>2025</v>
      </c>
    </row>
    <row r="118" spans="1:4" x14ac:dyDescent="0.25">
      <c r="A118" s="41">
        <v>45689</v>
      </c>
      <c r="B118" s="5" t="s">
        <v>7</v>
      </c>
      <c r="C118" s="43">
        <v>1.8231540565176729E-3</v>
      </c>
      <c r="D118" s="42">
        <f t="shared" si="1"/>
        <v>2025</v>
      </c>
    </row>
    <row r="119" spans="1:4" x14ac:dyDescent="0.25">
      <c r="A119" s="41">
        <v>45717</v>
      </c>
      <c r="B119" s="5" t="s">
        <v>7</v>
      </c>
      <c r="C119" s="43">
        <v>6.7561419472247586E-2</v>
      </c>
      <c r="D119" s="42">
        <f t="shared" si="1"/>
        <v>2025</v>
      </c>
    </row>
    <row r="120" spans="1:4" x14ac:dyDescent="0.25">
      <c r="A120" s="41">
        <v>45748</v>
      </c>
      <c r="B120" s="5" t="s">
        <v>7</v>
      </c>
      <c r="C120" s="43">
        <v>2.620924781589595E-2</v>
      </c>
      <c r="D120" s="42">
        <f t="shared" si="1"/>
        <v>2025</v>
      </c>
    </row>
    <row r="121" spans="1:4" x14ac:dyDescent="0.25">
      <c r="A121" s="41">
        <v>45778</v>
      </c>
      <c r="B121" s="5" t="s">
        <v>7</v>
      </c>
      <c r="C121" s="43">
        <v>-1.557308970099669E-2</v>
      </c>
      <c r="D121" s="42">
        <f t="shared" si="1"/>
        <v>2025</v>
      </c>
    </row>
    <row r="122" spans="1:4" x14ac:dyDescent="0.25">
      <c r="A122" s="41">
        <v>45809</v>
      </c>
      <c r="B122" s="5" t="s">
        <v>7</v>
      </c>
      <c r="C122" s="43">
        <v>-1.7506855093862069E-2</v>
      </c>
      <c r="D122" s="42">
        <f t="shared" si="1"/>
        <v>2025</v>
      </c>
    </row>
    <row r="123" spans="1:4" x14ac:dyDescent="0.25">
      <c r="A123" s="41">
        <v>45839</v>
      </c>
      <c r="B123" s="5" t="s">
        <v>7</v>
      </c>
      <c r="C123" s="43">
        <v>3.9287247745813707E-2</v>
      </c>
      <c r="D123" s="42">
        <f t="shared" si="1"/>
        <v>2025</v>
      </c>
    </row>
    <row r="124" spans="1:4" x14ac:dyDescent="0.25">
      <c r="A124" s="41">
        <v>45870</v>
      </c>
      <c r="B124" s="5" t="s">
        <v>7</v>
      </c>
      <c r="C124" s="43">
        <v>2.334228465193133E-2</v>
      </c>
      <c r="D124" s="42">
        <f t="shared" si="1"/>
        <v>2025</v>
      </c>
    </row>
    <row r="125" spans="1:4" x14ac:dyDescent="0.25">
      <c r="A125" s="41">
        <v>45901</v>
      </c>
      <c r="B125" s="5" t="s">
        <v>7</v>
      </c>
      <c r="C125" s="43">
        <v>0.1192975373435607</v>
      </c>
      <c r="D125" s="42">
        <f t="shared" si="1"/>
        <v>2025</v>
      </c>
    </row>
    <row r="126" spans="1:4" x14ac:dyDescent="0.25">
      <c r="A126" s="41">
        <v>45931</v>
      </c>
      <c r="B126" s="5" t="s">
        <v>7</v>
      </c>
      <c r="C126" s="43">
        <v>6.2398557258791731E-2</v>
      </c>
      <c r="D126" s="42">
        <f t="shared" si="1"/>
        <v>2025</v>
      </c>
    </row>
    <row r="127" spans="1:4" x14ac:dyDescent="0.25">
      <c r="A127" s="41">
        <v>45962</v>
      </c>
      <c r="B127" s="5" t="s">
        <v>7</v>
      </c>
      <c r="C127" s="43">
        <v>4.7869631641487047E-2</v>
      </c>
      <c r="D127" s="42">
        <f t="shared" si="1"/>
        <v>2025</v>
      </c>
    </row>
    <row r="128" spans="1:4" x14ac:dyDescent="0.25">
      <c r="A128" s="41">
        <v>45992</v>
      </c>
      <c r="B128" s="5" t="s">
        <v>7</v>
      </c>
      <c r="C128" s="43">
        <v>7.1278146768183337E-3</v>
      </c>
      <c r="D128" s="42">
        <f t="shared" si="1"/>
        <v>2025</v>
      </c>
    </row>
    <row r="129" spans="1:4" x14ac:dyDescent="0.25">
      <c r="A129" s="41">
        <v>46023</v>
      </c>
      <c r="B129" s="5" t="s">
        <v>7</v>
      </c>
      <c r="C129" s="43">
        <v>0.13479170017693429</v>
      </c>
      <c r="D129" s="42">
        <f t="shared" si="1"/>
        <v>2026</v>
      </c>
    </row>
    <row r="130" spans="1:4" x14ac:dyDescent="0.25">
      <c r="A130" s="41">
        <v>46054</v>
      </c>
      <c r="B130" s="5" t="s">
        <v>7</v>
      </c>
      <c r="C130" s="43">
        <v>6.8887313961729202E-2</v>
      </c>
      <c r="D130" s="42">
        <f t="shared" si="1"/>
        <v>2026</v>
      </c>
    </row>
    <row r="131" spans="1:4" x14ac:dyDescent="0.25">
      <c r="A131" s="41">
        <v>46082</v>
      </c>
      <c r="B131" s="5" t="s">
        <v>7</v>
      </c>
      <c r="C131" s="43">
        <v>-0.10011934756663581</v>
      </c>
      <c r="D131" s="42">
        <f t="shared" ref="D131:D194" si="2">YEAR(A131)</f>
        <v>2026</v>
      </c>
    </row>
    <row r="132" spans="1:4" x14ac:dyDescent="0.25">
      <c r="A132" s="41">
        <v>46113</v>
      </c>
      <c r="B132" s="5" t="s">
        <v>7</v>
      </c>
      <c r="C132" s="43">
        <v>-2.66725611553198E-2</v>
      </c>
      <c r="D132" s="42">
        <f t="shared" si="2"/>
        <v>2026</v>
      </c>
    </row>
    <row r="133" spans="1:4" x14ac:dyDescent="0.25">
      <c r="A133" s="41">
        <v>46143</v>
      </c>
      <c r="B133" s="5" t="s">
        <v>7</v>
      </c>
      <c r="C133" s="43">
        <v>-2.1196063588190261E-3</v>
      </c>
      <c r="D133" s="42">
        <f t="shared" si="2"/>
        <v>2026</v>
      </c>
    </row>
    <row r="134" spans="1:4" x14ac:dyDescent="0.25">
      <c r="A134" s="41">
        <v>46174</v>
      </c>
      <c r="B134" s="5" t="s">
        <v>7</v>
      </c>
      <c r="C134" s="43">
        <v>-0.1055985434683659</v>
      </c>
      <c r="D134" s="42">
        <f t="shared" si="2"/>
        <v>2026</v>
      </c>
    </row>
    <row r="135" spans="1:4" x14ac:dyDescent="0.25">
      <c r="A135" s="41">
        <v>46204</v>
      </c>
      <c r="B135" s="5" t="s">
        <v>7</v>
      </c>
      <c r="C135" s="43">
        <v>-1.289228159457168E-2</v>
      </c>
      <c r="D135" s="42">
        <f t="shared" si="2"/>
        <v>2026</v>
      </c>
    </row>
    <row r="136" spans="1:4" x14ac:dyDescent="0.25">
      <c r="A136" s="41">
        <v>46235</v>
      </c>
      <c r="B136" s="5" t="s">
        <v>7</v>
      </c>
      <c r="C136" s="43">
        <v>0.1202955834335797</v>
      </c>
      <c r="D136" s="42">
        <f t="shared" si="2"/>
        <v>2026</v>
      </c>
    </row>
    <row r="137" spans="1:4" x14ac:dyDescent="0.25">
      <c r="A137" s="41">
        <v>46266</v>
      </c>
      <c r="B137" s="5" t="s">
        <v>7</v>
      </c>
      <c r="C137" s="43">
        <v>-6.795520785396536E-2</v>
      </c>
      <c r="D137" s="42">
        <f t="shared" si="2"/>
        <v>2026</v>
      </c>
    </row>
    <row r="138" spans="1:4" x14ac:dyDescent="0.25">
      <c r="A138" s="41">
        <v>45261</v>
      </c>
      <c r="B138" s="5" t="s">
        <v>8</v>
      </c>
      <c r="C138" s="43">
        <v>4.5209225767448347E-2</v>
      </c>
      <c r="D138" s="42">
        <f t="shared" si="2"/>
        <v>2023</v>
      </c>
    </row>
    <row r="139" spans="1:4" x14ac:dyDescent="0.25">
      <c r="A139" s="41">
        <v>45292</v>
      </c>
      <c r="B139" s="5" t="s">
        <v>8</v>
      </c>
      <c r="C139" s="43">
        <v>1.113617393508637E-2</v>
      </c>
      <c r="D139" s="42">
        <f t="shared" si="2"/>
        <v>2024</v>
      </c>
    </row>
    <row r="140" spans="1:4" x14ac:dyDescent="0.25">
      <c r="A140" s="41">
        <v>45323</v>
      </c>
      <c r="B140" s="5" t="s">
        <v>8</v>
      </c>
      <c r="C140" s="43">
        <v>3.9638186055910303E-2</v>
      </c>
      <c r="D140" s="42">
        <f t="shared" si="2"/>
        <v>2024</v>
      </c>
    </row>
    <row r="141" spans="1:4" x14ac:dyDescent="0.25">
      <c r="A141" s="41">
        <v>45352</v>
      </c>
      <c r="B141" s="5" t="s">
        <v>8</v>
      </c>
      <c r="C141" s="43">
        <v>3.4595752184138677E-2</v>
      </c>
      <c r="D141" s="42">
        <f t="shared" si="2"/>
        <v>2024</v>
      </c>
    </row>
    <row r="142" spans="1:4" x14ac:dyDescent="0.25">
      <c r="A142" s="41">
        <v>45383</v>
      </c>
      <c r="B142" s="5" t="s">
        <v>8</v>
      </c>
      <c r="C142" s="43">
        <v>-1.8698054564812772E-2</v>
      </c>
      <c r="D142" s="42">
        <f t="shared" si="2"/>
        <v>2024</v>
      </c>
    </row>
    <row r="143" spans="1:4" x14ac:dyDescent="0.25">
      <c r="A143" s="41">
        <v>45413</v>
      </c>
      <c r="B143" s="5" t="s">
        <v>8</v>
      </c>
      <c r="C143" s="43">
        <v>9.3759480016664121E-3</v>
      </c>
      <c r="D143" s="42">
        <f t="shared" si="2"/>
        <v>2024</v>
      </c>
    </row>
    <row r="144" spans="1:4" x14ac:dyDescent="0.25">
      <c r="A144" s="41">
        <v>45444</v>
      </c>
      <c r="B144" s="5" t="s">
        <v>8</v>
      </c>
      <c r="C144" s="43">
        <v>4.3148217901658903E-2</v>
      </c>
      <c r="D144" s="42">
        <f t="shared" si="2"/>
        <v>2024</v>
      </c>
    </row>
    <row r="145" spans="1:4" x14ac:dyDescent="0.25">
      <c r="A145" s="41">
        <v>45474</v>
      </c>
      <c r="B145" s="5" t="s">
        <v>8</v>
      </c>
      <c r="C145" s="43">
        <v>-3.0639571748741772E-3</v>
      </c>
      <c r="D145" s="42">
        <f t="shared" si="2"/>
        <v>2024</v>
      </c>
    </row>
    <row r="146" spans="1:4" x14ac:dyDescent="0.25">
      <c r="A146" s="41">
        <v>45505</v>
      </c>
      <c r="B146" s="5" t="s">
        <v>8</v>
      </c>
      <c r="C146" s="43">
        <v>-5.4744494793333986E-3</v>
      </c>
      <c r="D146" s="42">
        <f t="shared" si="2"/>
        <v>2024</v>
      </c>
    </row>
    <row r="147" spans="1:4" x14ac:dyDescent="0.25">
      <c r="A147" s="41">
        <v>45536</v>
      </c>
      <c r="B147" s="5" t="s">
        <v>8</v>
      </c>
      <c r="C147" s="43">
        <v>5.5045840466012566E-3</v>
      </c>
      <c r="D147" s="42">
        <f t="shared" si="2"/>
        <v>2024</v>
      </c>
    </row>
    <row r="148" spans="1:4" x14ac:dyDescent="0.25">
      <c r="A148" s="41">
        <v>45566</v>
      </c>
      <c r="B148" s="5" t="s">
        <v>8</v>
      </c>
      <c r="C148" s="43">
        <v>2.266615970127828E-2</v>
      </c>
      <c r="D148" s="42">
        <f t="shared" si="2"/>
        <v>2024</v>
      </c>
    </row>
    <row r="149" spans="1:4" x14ac:dyDescent="0.25">
      <c r="A149" s="41">
        <v>45597</v>
      </c>
      <c r="B149" s="5" t="s">
        <v>8</v>
      </c>
      <c r="C149" s="43">
        <v>4.9680626590516967E-2</v>
      </c>
      <c r="D149" s="42">
        <f t="shared" si="2"/>
        <v>2024</v>
      </c>
    </row>
    <row r="150" spans="1:4" x14ac:dyDescent="0.25">
      <c r="A150" s="41">
        <v>45627</v>
      </c>
      <c r="B150" s="5" t="s">
        <v>8</v>
      </c>
      <c r="C150" s="43">
        <v>-5.4575735821574822E-3</v>
      </c>
      <c r="D150" s="42">
        <f t="shared" si="2"/>
        <v>2024</v>
      </c>
    </row>
    <row r="151" spans="1:4" x14ac:dyDescent="0.25">
      <c r="A151" s="41">
        <v>45658</v>
      </c>
      <c r="B151" s="5" t="s">
        <v>8</v>
      </c>
      <c r="C151" s="43">
        <v>4.4980207226318569E-2</v>
      </c>
      <c r="D151" s="42">
        <f t="shared" si="2"/>
        <v>2025</v>
      </c>
    </row>
    <row r="152" spans="1:4" x14ac:dyDescent="0.25">
      <c r="A152" s="41">
        <v>45689</v>
      </c>
      <c r="B152" s="5" t="s">
        <v>8</v>
      </c>
      <c r="C152" s="43">
        <v>-3.5382235543887308E-2</v>
      </c>
      <c r="D152" s="42">
        <f t="shared" si="2"/>
        <v>2025</v>
      </c>
    </row>
    <row r="153" spans="1:4" x14ac:dyDescent="0.25">
      <c r="A153" s="41">
        <v>45717</v>
      </c>
      <c r="B153" s="5" t="s">
        <v>8</v>
      </c>
      <c r="C153" s="43">
        <v>-5.9170055352430362E-2</v>
      </c>
      <c r="D153" s="42">
        <f t="shared" si="2"/>
        <v>2025</v>
      </c>
    </row>
    <row r="154" spans="1:4" x14ac:dyDescent="0.25">
      <c r="A154" s="41">
        <v>45748</v>
      </c>
      <c r="B154" s="5" t="s">
        <v>8</v>
      </c>
      <c r="C154" s="43">
        <v>-2.4378673301678089E-2</v>
      </c>
      <c r="D154" s="42">
        <f t="shared" si="2"/>
        <v>2025</v>
      </c>
    </row>
    <row r="155" spans="1:4" x14ac:dyDescent="0.25">
      <c r="A155" s="41">
        <v>45778</v>
      </c>
      <c r="B155" s="5" t="s">
        <v>8</v>
      </c>
      <c r="C155" s="43">
        <v>5.1823061838895512E-2</v>
      </c>
      <c r="D155" s="42">
        <f t="shared" si="2"/>
        <v>2025</v>
      </c>
    </row>
    <row r="156" spans="1:4" x14ac:dyDescent="0.25">
      <c r="A156" s="41">
        <v>45809</v>
      </c>
      <c r="B156" s="5" t="s">
        <v>8</v>
      </c>
      <c r="C156" s="43">
        <v>2.8378625311182851E-2</v>
      </c>
      <c r="D156" s="42">
        <f t="shared" si="2"/>
        <v>2025</v>
      </c>
    </row>
    <row r="157" spans="1:4" x14ac:dyDescent="0.25">
      <c r="A157" s="41">
        <v>45839</v>
      </c>
      <c r="B157" s="5" t="s">
        <v>8</v>
      </c>
      <c r="C157" s="43">
        <v>5.6000030174683912E-2</v>
      </c>
      <c r="D157" s="42">
        <f t="shared" si="2"/>
        <v>2025</v>
      </c>
    </row>
    <row r="158" spans="1:4" x14ac:dyDescent="0.25">
      <c r="A158" s="41">
        <v>45870</v>
      </c>
      <c r="B158" s="5" t="s">
        <v>8</v>
      </c>
      <c r="C158" s="43">
        <v>-1.361965079480276E-3</v>
      </c>
      <c r="D158" s="42">
        <f t="shared" si="2"/>
        <v>2025</v>
      </c>
    </row>
    <row r="159" spans="1:4" x14ac:dyDescent="0.25">
      <c r="A159" s="41">
        <v>45901</v>
      </c>
      <c r="B159" s="5" t="s">
        <v>8</v>
      </c>
      <c r="C159" s="43">
        <v>3.699287400762441E-2</v>
      </c>
      <c r="D159" s="42">
        <f t="shared" si="2"/>
        <v>2025</v>
      </c>
    </row>
    <row r="160" spans="1:4" x14ac:dyDescent="0.25">
      <c r="A160" s="41">
        <v>45931</v>
      </c>
      <c r="B160" s="5" t="s">
        <v>8</v>
      </c>
      <c r="C160" s="43">
        <v>4.9810926978305803E-2</v>
      </c>
      <c r="D160" s="42">
        <f t="shared" si="2"/>
        <v>2025</v>
      </c>
    </row>
    <row r="161" spans="1:4" x14ac:dyDescent="0.25">
      <c r="A161" s="41">
        <v>45962</v>
      </c>
      <c r="B161" s="5" t="s">
        <v>8</v>
      </c>
      <c r="C161" s="43">
        <v>-7.6730609737477584E-3</v>
      </c>
      <c r="D161" s="42">
        <f t="shared" si="2"/>
        <v>2025</v>
      </c>
    </row>
    <row r="162" spans="1:4" x14ac:dyDescent="0.25">
      <c r="A162" s="41">
        <v>45992</v>
      </c>
      <c r="B162" s="5" t="s">
        <v>8</v>
      </c>
      <c r="C162" s="43">
        <v>-6.3116776872718106E-4</v>
      </c>
      <c r="D162" s="42">
        <f t="shared" si="2"/>
        <v>2025</v>
      </c>
    </row>
    <row r="163" spans="1:4" x14ac:dyDescent="0.25">
      <c r="A163" s="41">
        <v>46023</v>
      </c>
      <c r="B163" s="5" t="s">
        <v>8</v>
      </c>
      <c r="C163" s="43">
        <v>5.3686456349335554E-3</v>
      </c>
      <c r="D163" s="42">
        <f t="shared" si="2"/>
        <v>2026</v>
      </c>
    </row>
    <row r="164" spans="1:4" x14ac:dyDescent="0.25">
      <c r="A164" s="41">
        <v>46054</v>
      </c>
      <c r="B164" s="5" t="s">
        <v>8</v>
      </c>
      <c r="C164" s="43">
        <v>3.3453823528636351E-2</v>
      </c>
      <c r="D164" s="42">
        <f t="shared" si="2"/>
        <v>2026</v>
      </c>
    </row>
    <row r="165" spans="1:4" x14ac:dyDescent="0.25">
      <c r="A165" s="41">
        <v>46082</v>
      </c>
      <c r="B165" s="5" t="s">
        <v>8</v>
      </c>
      <c r="C165" s="43">
        <v>-6.0334362258013141E-2</v>
      </c>
      <c r="D165" s="42">
        <f t="shared" si="2"/>
        <v>2026</v>
      </c>
    </row>
    <row r="166" spans="1:4" x14ac:dyDescent="0.25">
      <c r="A166" s="41">
        <v>46113</v>
      </c>
      <c r="B166" s="5" t="s">
        <v>8</v>
      </c>
      <c r="C166" s="43">
        <v>7.5367877967202679E-2</v>
      </c>
      <c r="D166" s="42">
        <f t="shared" si="2"/>
        <v>2026</v>
      </c>
    </row>
    <row r="167" spans="1:4" x14ac:dyDescent="0.25">
      <c r="A167" s="41">
        <v>46143</v>
      </c>
      <c r="B167" s="5" t="s">
        <v>8</v>
      </c>
      <c r="C167" s="43">
        <v>6.3017033779894094E-2</v>
      </c>
      <c r="D167" s="42">
        <f t="shared" si="2"/>
        <v>2026</v>
      </c>
    </row>
    <row r="168" spans="1:4" x14ac:dyDescent="0.25">
      <c r="A168" s="41">
        <v>46174</v>
      </c>
      <c r="B168" s="5" t="s">
        <v>8</v>
      </c>
      <c r="C168" s="43">
        <v>6.6497059801047254E-3</v>
      </c>
      <c r="D168" s="42">
        <f t="shared" si="2"/>
        <v>2026</v>
      </c>
    </row>
    <row r="169" spans="1:4" x14ac:dyDescent="0.25">
      <c r="A169" s="41">
        <v>46204</v>
      </c>
      <c r="B169" s="5" t="s">
        <v>8</v>
      </c>
      <c r="C169" s="43">
        <v>-2.2066052862320329E-2</v>
      </c>
      <c r="D169" s="42">
        <f t="shared" si="2"/>
        <v>2026</v>
      </c>
    </row>
    <row r="170" spans="1:4" x14ac:dyDescent="0.25">
      <c r="A170" s="41">
        <v>46235</v>
      </c>
      <c r="B170" s="5" t="s">
        <v>8</v>
      </c>
      <c r="C170" s="43">
        <v>3.6361004781803492E-2</v>
      </c>
      <c r="D170" s="42">
        <f t="shared" si="2"/>
        <v>2026</v>
      </c>
    </row>
    <row r="171" spans="1:4" x14ac:dyDescent="0.25">
      <c r="A171" s="41">
        <v>46266</v>
      </c>
      <c r="B171" s="5" t="s">
        <v>8</v>
      </c>
      <c r="C171" s="43">
        <v>7.2111584893228553E-3</v>
      </c>
      <c r="D171" s="42">
        <f t="shared" si="2"/>
        <v>2026</v>
      </c>
    </row>
    <row r="172" spans="1:4" x14ac:dyDescent="0.25">
      <c r="A172" s="41">
        <v>45261</v>
      </c>
      <c r="B172" s="5" t="s">
        <v>9</v>
      </c>
      <c r="C172" s="43">
        <v>3.2612104107870847E-2</v>
      </c>
      <c r="D172" s="42">
        <f t="shared" si="2"/>
        <v>2023</v>
      </c>
    </row>
    <row r="173" spans="1:4" x14ac:dyDescent="0.25">
      <c r="A173" s="41">
        <v>45292</v>
      </c>
      <c r="B173" s="5" t="s">
        <v>9</v>
      </c>
      <c r="C173" s="43">
        <v>-3.8202247191011278E-2</v>
      </c>
      <c r="D173" s="42">
        <f t="shared" si="2"/>
        <v>2024</v>
      </c>
    </row>
    <row r="174" spans="1:4" x14ac:dyDescent="0.25">
      <c r="A174" s="41">
        <v>45323</v>
      </c>
      <c r="B174" s="5" t="s">
        <v>9</v>
      </c>
      <c r="C174" s="43">
        <v>4.4708259661530692E-2</v>
      </c>
      <c r="D174" s="42">
        <f t="shared" si="2"/>
        <v>2024</v>
      </c>
    </row>
    <row r="175" spans="1:4" x14ac:dyDescent="0.25">
      <c r="A175" s="41">
        <v>45352</v>
      </c>
      <c r="B175" s="5" t="s">
        <v>9</v>
      </c>
      <c r="C175" s="43">
        <v>3.1733558994197393E-2</v>
      </c>
      <c r="D175" s="42">
        <f t="shared" si="2"/>
        <v>2024</v>
      </c>
    </row>
    <row r="176" spans="1:4" x14ac:dyDescent="0.25">
      <c r="A176" s="41">
        <v>45383</v>
      </c>
      <c r="B176" s="5" t="s">
        <v>9</v>
      </c>
      <c r="C176" s="43">
        <v>1.2185833968012091E-2</v>
      </c>
      <c r="D176" s="42">
        <f t="shared" si="2"/>
        <v>2024</v>
      </c>
    </row>
    <row r="177" spans="1:4" x14ac:dyDescent="0.25">
      <c r="A177" s="41">
        <v>45413</v>
      </c>
      <c r="B177" s="5" t="s">
        <v>9</v>
      </c>
      <c r="C177" s="43">
        <v>-8.1032586675927609E-3</v>
      </c>
      <c r="D177" s="42">
        <f t="shared" si="2"/>
        <v>2024</v>
      </c>
    </row>
    <row r="178" spans="1:4" x14ac:dyDescent="0.25">
      <c r="A178" s="41">
        <v>45444</v>
      </c>
      <c r="B178" s="5" t="s">
        <v>9</v>
      </c>
      <c r="C178" s="43">
        <v>4.4465192274026899E-2</v>
      </c>
      <c r="D178" s="42">
        <f t="shared" si="2"/>
        <v>2024</v>
      </c>
    </row>
    <row r="179" spans="1:4" x14ac:dyDescent="0.25">
      <c r="A179" s="41">
        <v>45474</v>
      </c>
      <c r="B179" s="5" t="s">
        <v>9</v>
      </c>
      <c r="C179" s="43">
        <v>-5.8662495111458926E-3</v>
      </c>
      <c r="D179" s="42">
        <f t="shared" si="2"/>
        <v>2024</v>
      </c>
    </row>
    <row r="180" spans="1:4" x14ac:dyDescent="0.25">
      <c r="A180" s="41">
        <v>45505</v>
      </c>
      <c r="B180" s="5" t="s">
        <v>9</v>
      </c>
      <c r="C180" s="43">
        <v>-1.5061256603349451E-2</v>
      </c>
      <c r="D180" s="42">
        <f t="shared" si="2"/>
        <v>2024</v>
      </c>
    </row>
    <row r="181" spans="1:4" x14ac:dyDescent="0.25">
      <c r="A181" s="41">
        <v>45536</v>
      </c>
      <c r="B181" s="5" t="s">
        <v>9</v>
      </c>
      <c r="C181" s="43">
        <v>4.0168891931986687E-2</v>
      </c>
      <c r="D181" s="42">
        <f t="shared" si="2"/>
        <v>2024</v>
      </c>
    </row>
    <row r="182" spans="1:4" x14ac:dyDescent="0.25">
      <c r="A182" s="41">
        <v>45566</v>
      </c>
      <c r="B182" s="5" t="s">
        <v>9</v>
      </c>
      <c r="C182" s="43">
        <v>-2.084476138233704E-3</v>
      </c>
      <c r="D182" s="42">
        <f t="shared" si="2"/>
        <v>2024</v>
      </c>
    </row>
    <row r="183" spans="1:4" x14ac:dyDescent="0.25">
      <c r="A183" s="41">
        <v>45597</v>
      </c>
      <c r="B183" s="5" t="s">
        <v>9</v>
      </c>
      <c r="C183" s="43">
        <v>-1.1708443271767789E-2</v>
      </c>
      <c r="D183" s="42">
        <f t="shared" si="2"/>
        <v>2024</v>
      </c>
    </row>
    <row r="184" spans="1:4" x14ac:dyDescent="0.25">
      <c r="A184" s="41">
        <v>45627</v>
      </c>
      <c r="B184" s="5" t="s">
        <v>9</v>
      </c>
      <c r="C184" s="43">
        <v>-6.1182490683575619E-4</v>
      </c>
      <c r="D184" s="42">
        <f t="shared" si="2"/>
        <v>2024</v>
      </c>
    </row>
    <row r="185" spans="1:4" x14ac:dyDescent="0.25">
      <c r="A185" s="41">
        <v>45658</v>
      </c>
      <c r="B185" s="5" t="s">
        <v>9</v>
      </c>
      <c r="C185" s="43">
        <v>3.7566785396260023E-2</v>
      </c>
      <c r="D185" s="42">
        <f t="shared" si="2"/>
        <v>2025</v>
      </c>
    </row>
    <row r="186" spans="1:4" x14ac:dyDescent="0.25">
      <c r="A186" s="41">
        <v>45689</v>
      </c>
      <c r="B186" s="5" t="s">
        <v>9</v>
      </c>
      <c r="C186" s="43">
        <v>-1.6681864506785441E-2</v>
      </c>
      <c r="D186" s="42">
        <f t="shared" si="2"/>
        <v>2025</v>
      </c>
    </row>
    <row r="187" spans="1:4" x14ac:dyDescent="0.25">
      <c r="A187" s="41">
        <v>45717</v>
      </c>
      <c r="B187" s="5" t="s">
        <v>9</v>
      </c>
      <c r="C187" s="43">
        <v>-1.5055640410211679E-2</v>
      </c>
      <c r="D187" s="42">
        <f t="shared" si="2"/>
        <v>2025</v>
      </c>
    </row>
    <row r="188" spans="1:4" x14ac:dyDescent="0.25">
      <c r="A188" s="41">
        <v>45748</v>
      </c>
      <c r="B188" s="5" t="s">
        <v>9</v>
      </c>
      <c r="C188" s="43">
        <v>-2.603012848914488E-2</v>
      </c>
      <c r="D188" s="42">
        <f t="shared" si="2"/>
        <v>2025</v>
      </c>
    </row>
    <row r="189" spans="1:4" x14ac:dyDescent="0.25">
      <c r="A189" s="41">
        <v>45778</v>
      </c>
      <c r="B189" s="5" t="s">
        <v>9</v>
      </c>
      <c r="C189" s="43">
        <v>3.389059479131129E-2</v>
      </c>
      <c r="D189" s="42">
        <f t="shared" si="2"/>
        <v>2025</v>
      </c>
    </row>
    <row r="190" spans="1:4" x14ac:dyDescent="0.25">
      <c r="A190" s="41">
        <v>45809</v>
      </c>
      <c r="B190" s="5" t="s">
        <v>9</v>
      </c>
      <c r="C190" s="43">
        <v>5.0049499505004917E-2</v>
      </c>
      <c r="D190" s="42">
        <f t="shared" si="2"/>
        <v>2025</v>
      </c>
    </row>
    <row r="191" spans="1:4" x14ac:dyDescent="0.25">
      <c r="A191" s="41">
        <v>45839</v>
      </c>
      <c r="B191" s="5" t="s">
        <v>9</v>
      </c>
      <c r="C191" s="43">
        <v>5.0492352817934183E-2</v>
      </c>
      <c r="D191" s="42">
        <f t="shared" si="2"/>
        <v>2025</v>
      </c>
    </row>
    <row r="192" spans="1:4" x14ac:dyDescent="0.25">
      <c r="A192" s="41">
        <v>45870</v>
      </c>
      <c r="B192" s="5" t="s">
        <v>9</v>
      </c>
      <c r="C192" s="43">
        <v>9.9720781810930248E-4</v>
      </c>
      <c r="D192" s="42">
        <f t="shared" si="2"/>
        <v>2025</v>
      </c>
    </row>
    <row r="193" spans="1:4" x14ac:dyDescent="0.25">
      <c r="A193" s="41">
        <v>45901</v>
      </c>
      <c r="B193" s="5" t="s">
        <v>9</v>
      </c>
      <c r="C193" s="43">
        <v>7.3620243076309988E-2</v>
      </c>
      <c r="D193" s="42">
        <f t="shared" si="2"/>
        <v>2025</v>
      </c>
    </row>
    <row r="194" spans="1:4" x14ac:dyDescent="0.25">
      <c r="A194" s="41">
        <v>45931</v>
      </c>
      <c r="B194" s="5" t="s">
        <v>9</v>
      </c>
      <c r="C194" s="43">
        <v>6.430360953883274E-2</v>
      </c>
      <c r="D194" s="42">
        <f t="shared" si="2"/>
        <v>2025</v>
      </c>
    </row>
    <row r="195" spans="1:4" x14ac:dyDescent="0.25">
      <c r="A195" s="41">
        <v>45962</v>
      </c>
      <c r="B195" s="5" t="s">
        <v>9</v>
      </c>
      <c r="C195" s="43">
        <v>-2.4673060156931159E-2</v>
      </c>
      <c r="D195" s="42">
        <f t="shared" ref="D195:D205" si="3">YEAR(A195)</f>
        <v>2025</v>
      </c>
    </row>
    <row r="196" spans="1:4" x14ac:dyDescent="0.25">
      <c r="A196" s="41">
        <v>45992</v>
      </c>
      <c r="B196" s="5" t="s">
        <v>9</v>
      </c>
      <c r="C196" s="43">
        <v>1.519620988647441E-3</v>
      </c>
      <c r="D196" s="42">
        <f t="shared" si="3"/>
        <v>2025</v>
      </c>
    </row>
    <row r="197" spans="1:4" x14ac:dyDescent="0.25">
      <c r="A197" s="41">
        <v>46023</v>
      </c>
      <c r="B197" s="5" t="s">
        <v>9</v>
      </c>
      <c r="C197" s="43">
        <v>6.9082470546233399E-2</v>
      </c>
      <c r="D197" s="42">
        <f t="shared" si="3"/>
        <v>2026</v>
      </c>
    </row>
    <row r="198" spans="1:4" x14ac:dyDescent="0.25">
      <c r="A198" s="41">
        <v>46054</v>
      </c>
      <c r="B198" s="5" t="s">
        <v>9</v>
      </c>
      <c r="C198" s="43">
        <v>7.4135915845717104E-2</v>
      </c>
      <c r="D198" s="42">
        <f t="shared" si="3"/>
        <v>2026</v>
      </c>
    </row>
    <row r="199" spans="1:4" x14ac:dyDescent="0.25">
      <c r="A199" s="41">
        <v>46082</v>
      </c>
      <c r="B199" s="5" t="s">
        <v>9</v>
      </c>
      <c r="C199" s="43">
        <v>-0.10166329861650859</v>
      </c>
      <c r="D199" s="42">
        <f t="shared" si="3"/>
        <v>2026</v>
      </c>
    </row>
    <row r="200" spans="1:4" x14ac:dyDescent="0.25">
      <c r="A200" s="41">
        <v>46113</v>
      </c>
      <c r="B200" s="5" t="s">
        <v>9</v>
      </c>
      <c r="C200" s="43">
        <v>0.11784045682644061</v>
      </c>
      <c r="D200" s="42">
        <f t="shared" si="3"/>
        <v>2026</v>
      </c>
    </row>
    <row r="201" spans="1:4" x14ac:dyDescent="0.25">
      <c r="A201" s="41">
        <v>46143</v>
      </c>
      <c r="B201" s="5" t="s">
        <v>9</v>
      </c>
      <c r="C201" s="43">
        <v>9.3188854489164141E-2</v>
      </c>
      <c r="D201" s="42">
        <f t="shared" si="3"/>
        <v>2026</v>
      </c>
    </row>
    <row r="202" spans="1:4" x14ac:dyDescent="0.25">
      <c r="A202" s="41">
        <v>46174</v>
      </c>
      <c r="B202" s="5" t="s">
        <v>9</v>
      </c>
      <c r="C202" s="43">
        <v>1.1682242990654229E-2</v>
      </c>
      <c r="D202" s="42">
        <f t="shared" si="3"/>
        <v>2026</v>
      </c>
    </row>
    <row r="203" spans="1:4" x14ac:dyDescent="0.25">
      <c r="A203" s="41">
        <v>46204</v>
      </c>
      <c r="B203" s="5" t="s">
        <v>9</v>
      </c>
      <c r="C203" s="43">
        <v>-7.4112954020575272E-2</v>
      </c>
      <c r="D203" s="42">
        <f t="shared" si="3"/>
        <v>2026</v>
      </c>
    </row>
    <row r="204" spans="1:4" x14ac:dyDescent="0.25">
      <c r="A204" s="41">
        <v>46235</v>
      </c>
      <c r="B204" s="5" t="s">
        <v>9</v>
      </c>
      <c r="C204" s="43">
        <v>5.0793650793650842E-2</v>
      </c>
      <c r="D204" s="42">
        <f t="shared" si="3"/>
        <v>2026</v>
      </c>
    </row>
    <row r="205" spans="1:4" x14ac:dyDescent="0.25">
      <c r="A205" s="41">
        <v>46266</v>
      </c>
      <c r="B205" s="5" t="s">
        <v>9</v>
      </c>
      <c r="C205" s="43">
        <v>1.0861746511293241E-2</v>
      </c>
      <c r="D205" s="42">
        <f t="shared" si="3"/>
        <v>2026</v>
      </c>
    </row>
  </sheetData>
  <conditionalFormatting sqref="A2:D205">
    <cfRule type="expression" dxfId="0" priority="1">
      <formula>MOD(ROW(),2)=1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9806-49B7-4C68-8743-97871865DBCE}">
  <dimension ref="A3:F11"/>
  <sheetViews>
    <sheetView workbookViewId="0">
      <selection activeCell="K13" sqref="K13"/>
    </sheetView>
  </sheetViews>
  <sheetFormatPr defaultRowHeight="15" x14ac:dyDescent="0.25"/>
  <cols>
    <col min="1" max="1" width="30.42578125" customWidth="1"/>
    <col min="2" max="5" width="16.7109375" customWidth="1"/>
    <col min="6" max="6" width="21" customWidth="1"/>
  </cols>
  <sheetData>
    <row r="3" spans="1:6" ht="21.95" customHeight="1" x14ac:dyDescent="0.25">
      <c r="A3" s="27" t="s">
        <v>19</v>
      </c>
      <c r="B3" s="27" t="s">
        <v>18</v>
      </c>
      <c r="C3" s="27"/>
      <c r="D3" s="27"/>
      <c r="E3" s="27"/>
      <c r="F3" s="27"/>
    </row>
    <row r="4" spans="1:6" ht="32.1" customHeight="1" x14ac:dyDescent="0.25">
      <c r="A4" s="7" t="s">
        <v>17</v>
      </c>
      <c r="B4" s="28">
        <v>2023</v>
      </c>
      <c r="C4" s="28">
        <v>2024</v>
      </c>
      <c r="D4" s="28">
        <v>2025</v>
      </c>
      <c r="E4" s="28">
        <v>2026</v>
      </c>
      <c r="F4" s="28" t="s">
        <v>20</v>
      </c>
    </row>
    <row r="5" spans="1:6" ht="20.100000000000001" customHeight="1" x14ac:dyDescent="0.25">
      <c r="A5" s="29" t="s">
        <v>9</v>
      </c>
      <c r="B5" s="30">
        <v>3.2612104107870847E-2</v>
      </c>
      <c r="C5" s="30">
        <v>7.6353317116514274E-3</v>
      </c>
      <c r="D5" s="30">
        <v>1.9166601697444729E-2</v>
      </c>
      <c r="E5" s="30">
        <v>2.7978787262896637E-2</v>
      </c>
      <c r="F5" s="37">
        <v>1.7824835011267484E-2</v>
      </c>
    </row>
    <row r="6" spans="1:6" ht="20.100000000000001" customHeight="1" x14ac:dyDescent="0.25">
      <c r="A6" s="31" t="s">
        <v>8</v>
      </c>
      <c r="B6" s="32">
        <v>4.5209225767448347E-2</v>
      </c>
      <c r="C6" s="32">
        <v>1.5254301134639945E-2</v>
      </c>
      <c r="D6" s="32">
        <v>1.1615713959755006E-2</v>
      </c>
      <c r="E6" s="32">
        <v>1.6114315004618254E-2</v>
      </c>
      <c r="F6" s="38">
        <v>1.5078771821816236E-2</v>
      </c>
    </row>
    <row r="7" spans="1:6" ht="20.100000000000001" customHeight="1" x14ac:dyDescent="0.25">
      <c r="A7" s="29" t="s">
        <v>7</v>
      </c>
      <c r="B7" s="30">
        <v>6.3775510204082666E-3</v>
      </c>
      <c r="C7" s="30">
        <v>2.142664030261061E-2</v>
      </c>
      <c r="D7" s="30">
        <v>3.7197073223899299E-2</v>
      </c>
      <c r="E7" s="30">
        <v>9.5744995272951168E-4</v>
      </c>
      <c r="F7" s="37">
        <v>2.1131740085679203E-2</v>
      </c>
    </row>
    <row r="8" spans="1:6" ht="20.100000000000001" customHeight="1" x14ac:dyDescent="0.25">
      <c r="A8" s="31" t="s">
        <v>5</v>
      </c>
      <c r="B8" s="32">
        <v>9.5071934335152708E-2</v>
      </c>
      <c r="C8" s="32">
        <v>-6.1314881680898936E-3</v>
      </c>
      <c r="D8" s="32">
        <v>1.1639080029309015E-2</v>
      </c>
      <c r="E8" s="32">
        <v>1.3391244353630705E-2</v>
      </c>
      <c r="F8" s="38">
        <v>8.2848304662487791E-3</v>
      </c>
    </row>
    <row r="9" spans="1:6" ht="20.100000000000001" customHeight="1" x14ac:dyDescent="0.25">
      <c r="A9" s="29" t="s">
        <v>4</v>
      </c>
      <c r="B9" s="30">
        <v>6.6837192306414606E-2</v>
      </c>
      <c r="C9" s="30">
        <v>1.9988337558027081E-2</v>
      </c>
      <c r="D9" s="30">
        <v>1.6143589422180481E-2</v>
      </c>
      <c r="E9" s="30">
        <v>2.3021208256571564E-2</v>
      </c>
      <c r="F9" s="37">
        <v>2.0812093834648514E-2</v>
      </c>
    </row>
    <row r="10" spans="1:6" ht="20.100000000000001" customHeight="1" thickBot="1" x14ac:dyDescent="0.3">
      <c r="A10" s="33" t="s">
        <v>6</v>
      </c>
      <c r="B10" s="34">
        <v>0.1083835462850973</v>
      </c>
      <c r="C10" s="34">
        <v>-3.9342307830159103E-3</v>
      </c>
      <c r="D10" s="34">
        <v>3.4348184312851276E-2</v>
      </c>
      <c r="E10" s="34">
        <v>8.9909715698245019E-2</v>
      </c>
      <c r="F10" s="39">
        <v>3.7721718527274316E-2</v>
      </c>
    </row>
    <row r="11" spans="1:6" ht="20.100000000000001" customHeight="1" thickBot="1" x14ac:dyDescent="0.3">
      <c r="A11" s="35" t="s">
        <v>20</v>
      </c>
      <c r="B11" s="36">
        <v>5.9081925637065345E-2</v>
      </c>
      <c r="C11" s="36">
        <v>9.0398152926372093E-3</v>
      </c>
      <c r="D11" s="36">
        <v>2.1685040440906626E-2</v>
      </c>
      <c r="E11" s="36">
        <v>2.8562120088115279E-2</v>
      </c>
      <c r="F11" s="36">
        <v>2.0142331624489085E-2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Correlation</vt:lpstr>
      <vt:lpstr>Returns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Gilham</cp:lastModifiedBy>
  <dcterms:created xsi:type="dcterms:W3CDTF">2026-10-14T13:49:38Z</dcterms:created>
  <dcterms:modified xsi:type="dcterms:W3CDTF">2026-10-14T14:30:29Z</dcterms:modified>
</cp:coreProperties>
</file>